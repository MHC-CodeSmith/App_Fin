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ómo usar" sheetId="1" state="visible" r:id="rId1"/>
    <sheet name="Resumen" sheetId="2" state="visible" r:id="rId2"/>
    <sheet name="Préstamos" sheetId="3" state="visible" r:id="rId3"/>
    <sheet name="Cuotas" sheetId="4" state="visible" r:id="rId4"/>
    <sheet name="Calculadora" sheetId="5" state="visible" r:id="rId5"/>
  </sheets>
  <definedNames>
    <definedName name="_xlnm._FilterDatabase" localSheetId="2" hidden="1">'Préstamos'!$A$1:$R$101</definedName>
    <definedName name="_xlnm._FilterDatabase" localSheetId="3" hidden="1">'Cuotas'!$A$1:$M$601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S/ &quot;#,##0;-&quot;S/ &quot;#,##0;&quot;-&quot;"/>
  </numFmts>
  <fonts count="11">
    <font>
      <name val="Calibri"/>
      <family val="2"/>
      <color theme="1"/>
      <sz val="11"/>
      <scheme val="minor"/>
    </font>
    <font>
      <name val="Arial"/>
      <b val="1"/>
      <color rgb="002F7D5B"/>
      <sz val="14"/>
    </font>
    <font>
      <name val="Arial"/>
      <sz val="10"/>
    </font>
    <font>
      <name val="Arial"/>
      <b val="1"/>
      <sz val="10"/>
    </font>
    <font>
      <name val="Arial"/>
      <i val="1"/>
      <color rgb="00A86A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1F9D55"/>
      <sz val="10"/>
      <u val="single"/>
    </font>
    <font>
      <name val="Arial"/>
      <b val="1"/>
      <sz val="12"/>
    </font>
    <font>
      <name val="Consolas"/>
      <sz val="10"/>
    </font>
    <font>
      <name val="Arial"/>
      <i val="1"/>
      <color rgb="0066756D"/>
      <sz val="9"/>
    </font>
  </fonts>
  <fills count="5">
    <fill>
      <patternFill/>
    </fill>
    <fill>
      <patternFill patternType="gray125"/>
    </fill>
    <fill>
      <patternFill patternType="solid">
        <fgColor rgb="002F7D5B"/>
      </patternFill>
    </fill>
    <fill>
      <patternFill patternType="solid">
        <fgColor rgb="0066756D"/>
      </patternFill>
    </fill>
    <fill>
      <patternFill patternType="solid">
        <fgColor rgb="00FFFBE6"/>
      </patternFill>
    </fill>
  </fills>
  <borders count="2">
    <border>
      <left/>
      <right/>
      <top/>
      <bottom/>
      <diagonal/>
    </border>
    <border>
      <bottom style="thin">
        <color rgb="00DFE7E2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8" fillId="0" borderId="1" pivotButton="0" quotePrefix="0" xfId="0"/>
    <xf numFmtId="1" fontId="8" fillId="0" borderId="1" pivotButton="0" quotePrefix="0" xfId="0"/>
    <xf numFmtId="0" fontId="6" fillId="4" borderId="0" pivotButton="0" quotePrefix="0" xfId="0"/>
    <xf numFmtId="0" fontId="5" fillId="3" borderId="0" applyAlignment="1" pivotButton="0" quotePrefix="0" xfId="0">
      <alignment horizontal="center" wrapText="1"/>
    </xf>
    <xf numFmtId="165" fontId="2" fillId="0" borderId="1" pivotButton="0" quotePrefix="0" xfId="0"/>
    <xf numFmtId="165" fontId="3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pivotButton="0" quotePrefix="0" xfId="0"/>
    <xf numFmtId="165" fontId="6" fillId="4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horizontal="center"/>
    </xf>
    <xf numFmtId="164" fontId="6" fillId="4" borderId="1" pivotButton="0" quotePrefix="0" xfId="0"/>
    <xf numFmtId="0" fontId="7" fillId="0" borderId="1" pivotButton="0" quotePrefix="0" xfId="0"/>
    <xf numFmtId="165" fontId="6" fillId="4" borderId="0" pivotButton="0" quotePrefix="0" xfId="0"/>
    <xf numFmtId="0" fontId="10" fillId="0" borderId="0" pivotButton="0" quotePrefix="0" xfId="0"/>
    <xf numFmtId="164" fontId="6" fillId="4" borderId="0" pivotButton="0" quotePrefix="0" xfId="0"/>
    <xf numFmtId="0" fontId="9" fillId="0" borderId="0" pivotButton="0" quotePrefix="0" xfId="0"/>
    <xf numFmtId="0" fontId="5" fillId="3" borderId="0" applyAlignment="1" pivotButton="0" quotePrefix="0" xfId="0">
      <alignment horizontal="center"/>
    </xf>
    <xf numFmtId="49" fontId="2" fillId="0" borderId="1" pivotButton="0" quotePrefix="0" xfId="0"/>
    <xf numFmtId="164" fontId="0" fillId="0" borderId="0" pivotButton="0" quotePrefix="0" xfId="0"/>
    <xf numFmtId="165" fontId="8" fillId="0" borderId="1" pivotButton="0" quotePrefix="0" xfId="0"/>
    <xf numFmtId="165" fontId="2" fillId="0" borderId="1" pivotButton="0" quotePrefix="0" xfId="0"/>
    <xf numFmtId="165" fontId="3" fillId="0" borderId="0" pivotButton="0" quotePrefix="0" xfId="0"/>
    <xf numFmtId="165" fontId="6" fillId="4" borderId="1" pivotButton="0" quotePrefix="0" xfId="0"/>
    <xf numFmtId="164" fontId="2" fillId="0" borderId="1" pivotButton="0" quotePrefix="0" xfId="0"/>
    <xf numFmtId="164" fontId="6" fillId="4" borderId="1" pivotButton="0" quotePrefix="0" xfId="0"/>
    <xf numFmtId="165" fontId="6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dxfs count="4">
    <dxf>
      <font>
        <b val="1"/>
        <color rgb="00C2412D"/>
      </font>
    </dxf>
    <dxf>
      <font>
        <color rgb="00C2412D"/>
      </font>
      <fill>
        <patternFill patternType="solid">
          <fgColor rgb="00FBE9E5"/>
        </patternFill>
      </fill>
    </dxf>
    <dxf>
      <font>
        <color rgb="00999999"/>
      </font>
    </dxf>
    <dxf>
      <fill>
        <patternFill patternType="solid">
          <fgColor rgb="00FDF2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Financiera</author>
  </authors>
  <commentList>
    <comment ref="E1" authorId="0" shapeId="0">
      <text>
        <t>% = porcentaje sobre el capital total.
Fijo total = monto de interés por todo el préstamo.
Fijo por mes = monto de interés cada mes.</t>
      </text>
    </comment>
    <comment ref="F1" authorId="0" shapeId="0">
      <text>
        <t>Si el tipo es %, escribe 16 para 16% (no 0.16).</t>
      </text>
    </comment>
  </commentList>
</comments>
</file>

<file path=xl/comments/comment2.xml><?xml version="1.0" encoding="utf-8"?>
<comments xmlns="http://schemas.openxmlformats.org/spreadsheetml/2006/main">
  <authors>
    <author>Financiera</author>
  </authors>
  <commentList>
    <comment ref="D1" authorId="0" shapeId="0">
      <text>
        <t>Solo interés: el cliente pagó solo el interés ese mes. Deja vacío 'Cuota N°' y corre un mes las fechas de sus cuotas pendientes.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MI FINANCIERA: control de préstamos</t>
        </is>
      </c>
    </row>
    <row r="2">
      <c r="A2" s="2" t="inlineStr"/>
    </row>
    <row r="3">
      <c r="A3" s="3" t="inlineStr">
        <is>
          <t>Columnas con encabezado VERDE y fondo crema: las llenas tú (texto azul). Encabezado GRIS: se calculan solas, no las toques.</t>
        </is>
      </c>
    </row>
    <row r="4">
      <c r="A4" s="2" t="inlineStr"/>
    </row>
    <row r="5">
      <c r="A5" s="2" t="inlineStr">
        <is>
          <t>1. Préstamos: una fila por préstamo (N°, cliente, teléfono, capital, tipo de interés, valor, meses). Lo demás se calcula.</t>
        </is>
      </c>
    </row>
    <row r="6">
      <c r="A6" s="2" t="inlineStr">
        <is>
          <t xml:space="preserve">   Tipo de interés:  %  →  porcentaje sobre el capital total (1000*16%/2mes)</t>
        </is>
      </c>
    </row>
    <row r="7">
      <c r="A7" s="2" t="inlineStr">
        <is>
          <t xml:space="preserve">                     Fijo total  →  monto fijo de interés por todo el préstamo</t>
        </is>
      </c>
    </row>
    <row r="8">
      <c r="A8" s="2" t="inlineStr">
        <is>
          <t xml:space="preserve">                     Fijo por mes  →  monto fijo cada mes (ej. un refinanciamiento con interés simbólico de 25/mes)</t>
        </is>
      </c>
    </row>
    <row r="9">
      <c r="A9" s="2" t="inlineStr">
        <is>
          <t>2. Cuotas: una fila por cuota. Pon el N° de préstamo, el N° de cuota, el tipo y la fecha límite. Capital e interés se calculan solos.</t>
        </is>
      </c>
    </row>
    <row r="10">
      <c r="A10" s="2" t="inlineStr">
        <is>
          <t xml:space="preserve">   Cuando te paguen: cambia Estado a 'Pagado' y escribe la fecha de pago.</t>
        </is>
      </c>
    </row>
    <row r="11">
      <c r="A11" s="2" t="inlineStr">
        <is>
          <t xml:space="preserve">   Si pagan SOLO INTERÉS: agrega una fila con Tipo = 'Solo interés' (N° de cuota vacío) y márcala Pagado;</t>
        </is>
      </c>
    </row>
    <row r="12">
      <c r="A12" s="2" t="inlineStr">
        <is>
          <t xml:space="preserve">   luego corre un mes la Fecha límite de todas sus cuotas pendientes (3/3 +1 = 4/4).</t>
        </is>
      </c>
    </row>
    <row r="13">
      <c r="A13" s="2" t="inlineStr">
        <is>
          <t xml:space="preserve">   Tip: usa el filtro de la columna 'Situación' para ver solo Atrasado / Este mes.</t>
        </is>
      </c>
    </row>
    <row r="14">
      <c r="A14" s="2" t="inlineStr">
        <is>
          <t>3. Resumen: capital en la calle, por cobrar del mes, cobrado, ganancia y totales por mes.</t>
        </is>
      </c>
    </row>
    <row r="15">
      <c r="A15" s="2" t="inlineStr">
        <is>
          <t>4. Calculadora: simula un préstamo nuevo antes de darlo.</t>
        </is>
      </c>
    </row>
    <row r="16">
      <c r="A16" s="2" t="inlineStr"/>
    </row>
    <row r="17">
      <c r="A17" s="2" t="inlineStr">
        <is>
          <t>Redondeo: el capital por cuota se redondea hacia ARRIBA y el interés hacia ABAJO; la ÚLTIMA cuota ajusta la diferencia</t>
        </is>
      </c>
    </row>
    <row r="18">
      <c r="A18" s="2" t="inlineStr">
        <is>
          <t>para que el total cuadre exacto (2000*20%/3mes → 667cap+133int=800; última: 666cap+134int=800).</t>
        </is>
      </c>
    </row>
    <row r="19">
      <c r="A19" s="2" t="inlineStr"/>
    </row>
    <row r="20">
      <c r="A20" s="4" t="inlineStr">
        <is>
          <t>Los 3 préstamos cargados son ejemplos ficticios: bórralos (filas de Préstamos y Cuotas) y escribe los tuyos.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Resumen</t>
        </is>
      </c>
    </row>
    <row r="2">
      <c r="A2" t="inlineStr">
        <is>
          <t>Hoy</t>
        </is>
      </c>
      <c r="B2" s="27">
        <f>TODAY()</f>
        <v/>
      </c>
    </row>
    <row r="4">
      <c r="A4" s="2" t="inlineStr">
        <is>
          <t>Capital en la calle</t>
        </is>
      </c>
      <c r="B4" s="28">
        <f>SUMIFS(Cuotas!$F$2:$F$601,Cuotas!$I$2:$I$601,"Pendiente")</f>
        <v/>
      </c>
    </row>
    <row r="5">
      <c r="A5" s="2" t="inlineStr">
        <is>
          <t>Interés por cobrar</t>
        </is>
      </c>
      <c r="B5" s="28">
        <f>SUMIFS(Cuotas!$G$2:$G$601,Cuotas!$I$2:$I$601,"Pendiente")</f>
        <v/>
      </c>
    </row>
    <row r="6">
      <c r="A6" s="2" t="inlineStr">
        <is>
          <t>Por cobrar este mes (incluye atrasados)</t>
        </is>
      </c>
      <c r="B6" s="28">
        <f>SUMIFS(Cuotas!$H$2:$H$601,Cuotas!$I$2:$I$601,"Pendiente",Cuotas!$E$2:$E$601,"&lt;="&amp;EOMONTH(TODAY(),0))</f>
        <v/>
      </c>
    </row>
    <row r="7">
      <c r="A7" s="2" t="inlineStr">
        <is>
          <t>Cobrado este mes</t>
        </is>
      </c>
      <c r="B7" s="28">
        <f>SUMIFS(Cuotas!$H$2:$H$601,Cuotas!$I$2:$I$601,"Pagado",Cuotas!$J$2:$J$601,"&gt;"&amp;EOMONTH(TODAY(),-1),Cuotas!$J$2:$J$601,"&lt;="&amp;EOMONTH(TODAY(),0))</f>
        <v/>
      </c>
    </row>
    <row r="8">
      <c r="A8" s="2" t="inlineStr">
        <is>
          <t>Ganancia (interés) este mes</t>
        </is>
      </c>
      <c r="B8" s="28">
        <f>SUMIFS(Cuotas!$G$2:$G$601,Cuotas!$I$2:$I$601,"Pagado",Cuotas!$J$2:$J$601,"&gt;"&amp;EOMONTH(TODAY(),-1),Cuotas!$J$2:$J$601,"&lt;="&amp;EOMONTH(TODAY(),0))</f>
        <v/>
      </c>
    </row>
    <row r="9">
      <c r="A9" s="2" t="inlineStr">
        <is>
          <t>Cuotas atrasadas</t>
        </is>
      </c>
      <c r="B9" s="7">
        <f>COUNTIFS(Cuotas!$I$2:$I$601,"Pendiente",Cuotas!$E$2:$E$601,"&lt;"&amp;TODAY())</f>
        <v/>
      </c>
    </row>
    <row r="10">
      <c r="A10" s="2" t="inlineStr">
        <is>
          <t>Monto atrasado</t>
        </is>
      </c>
      <c r="B10" s="28">
        <f>SUMIFS(Cuotas!$H$2:$H$601,Cuotas!$I$2:$I$601,"Pendiente",Cuotas!$E$2:$E$601,"&lt;"&amp;TODAY())</f>
        <v/>
      </c>
    </row>
    <row r="11">
      <c r="A11" s="2" t="inlineStr">
        <is>
          <t>Ganancia total (interés cobrado)</t>
        </is>
      </c>
      <c r="B11" s="28">
        <f>SUMIFS(Cuotas!$G$2:$G$601,Cuotas!$I$2:$I$601,"Pagado")</f>
        <v/>
      </c>
    </row>
    <row r="12">
      <c r="A12" s="2" t="inlineStr">
        <is>
          <t>Préstamos activos</t>
        </is>
      </c>
      <c r="B12" s="7">
        <f>COUNTIF('Préstamos'!$R$2:$R$101,"Al día")+COUNTIF('Préstamos'!$R$2:$R$101,"Atrasado")</f>
        <v/>
      </c>
    </row>
    <row r="14">
      <c r="A14" s="3" t="inlineStr">
        <is>
          <t>Año</t>
        </is>
      </c>
      <c r="B14" s="8" t="n">
        <v>2026</v>
      </c>
    </row>
    <row r="15">
      <c r="A15" s="9" t="inlineStr">
        <is>
          <t>Mes</t>
        </is>
      </c>
      <c r="B15" s="9" t="inlineStr">
        <is>
          <t>Por cobrar (pendiente)</t>
        </is>
      </c>
      <c r="C15" s="9" t="inlineStr">
        <is>
          <t>Capital cobrado</t>
        </is>
      </c>
      <c r="D15" s="9" t="inlineStr">
        <is>
          <t>Interés ganado</t>
        </is>
      </c>
      <c r="E15" s="9" t="inlineStr">
        <is>
          <t>Total cobrado</t>
        </is>
      </c>
    </row>
    <row r="16">
      <c r="A16" s="2" t="inlineStr">
        <is>
          <t>Enero</t>
        </is>
      </c>
      <c r="B16" s="29">
        <f>SUMIFS(Cuotas!$H$2:$H$601,Cuotas!$I$2:$I$601,"Pendiente",Cuotas!$E$2:$E$601,"&gt;="&amp;DATE($B$14,1,1),Cuotas!$E$2:$E$601,"&lt;="&amp;EOMONTH(DATE($B$14,1,1),0))</f>
        <v/>
      </c>
      <c r="C16" s="29">
        <f>SUMIFS(Cuotas!$F$2:$F$601,Cuotas!$I$2:$I$601,"Pagado",Cuotas!$J$2:$J$601,"&gt;="&amp;DATE($B$14,1,1),Cuotas!$J$2:$J$601,"&lt;="&amp;EOMONTH(DATE($B$14,1,1),0))</f>
        <v/>
      </c>
      <c r="D16" s="29">
        <f>SUMIFS(Cuotas!$G$2:$G$601,Cuotas!$I$2:$I$601,"Pagado",Cuotas!$J$2:$J$601,"&gt;="&amp;DATE($B$14,1,1),Cuotas!$J$2:$J$601,"&lt;="&amp;EOMONTH(DATE($B$14,1,1),0))</f>
        <v/>
      </c>
      <c r="E16" s="29">
        <f>C16+D16</f>
        <v/>
      </c>
    </row>
    <row r="17">
      <c r="A17" s="2" t="inlineStr">
        <is>
          <t>Febrero</t>
        </is>
      </c>
      <c r="B17" s="29">
        <f>SUMIFS(Cuotas!$H$2:$H$601,Cuotas!$I$2:$I$601,"Pendiente",Cuotas!$E$2:$E$601,"&gt;="&amp;DATE($B$14,2,1),Cuotas!$E$2:$E$601,"&lt;="&amp;EOMONTH(DATE($B$14,2,1),0))</f>
        <v/>
      </c>
      <c r="C17" s="29">
        <f>SUMIFS(Cuotas!$F$2:$F$601,Cuotas!$I$2:$I$601,"Pagado",Cuotas!$J$2:$J$601,"&gt;="&amp;DATE($B$14,2,1),Cuotas!$J$2:$J$601,"&lt;="&amp;EOMONTH(DATE($B$14,2,1),0))</f>
        <v/>
      </c>
      <c r="D17" s="29">
        <f>SUMIFS(Cuotas!$G$2:$G$601,Cuotas!$I$2:$I$601,"Pagado",Cuotas!$J$2:$J$601,"&gt;="&amp;DATE($B$14,2,1),Cuotas!$J$2:$J$601,"&lt;="&amp;EOMONTH(DATE($B$14,2,1),0))</f>
        <v/>
      </c>
      <c r="E17" s="29">
        <f>C17+D17</f>
        <v/>
      </c>
    </row>
    <row r="18">
      <c r="A18" s="2" t="inlineStr">
        <is>
          <t>Marzo</t>
        </is>
      </c>
      <c r="B18" s="29">
        <f>SUMIFS(Cuotas!$H$2:$H$601,Cuotas!$I$2:$I$601,"Pendiente",Cuotas!$E$2:$E$601,"&gt;="&amp;DATE($B$14,3,1),Cuotas!$E$2:$E$601,"&lt;="&amp;EOMONTH(DATE($B$14,3,1),0))</f>
        <v/>
      </c>
      <c r="C18" s="29">
        <f>SUMIFS(Cuotas!$F$2:$F$601,Cuotas!$I$2:$I$601,"Pagado",Cuotas!$J$2:$J$601,"&gt;="&amp;DATE($B$14,3,1),Cuotas!$J$2:$J$601,"&lt;="&amp;EOMONTH(DATE($B$14,3,1),0))</f>
        <v/>
      </c>
      <c r="D18" s="29">
        <f>SUMIFS(Cuotas!$G$2:$G$601,Cuotas!$I$2:$I$601,"Pagado",Cuotas!$J$2:$J$601,"&gt;="&amp;DATE($B$14,3,1),Cuotas!$J$2:$J$601,"&lt;="&amp;EOMONTH(DATE($B$14,3,1),0))</f>
        <v/>
      </c>
      <c r="E18" s="29">
        <f>C18+D18</f>
        <v/>
      </c>
    </row>
    <row r="19">
      <c r="A19" s="2" t="inlineStr">
        <is>
          <t>Abril</t>
        </is>
      </c>
      <c r="B19" s="29">
        <f>SUMIFS(Cuotas!$H$2:$H$601,Cuotas!$I$2:$I$601,"Pendiente",Cuotas!$E$2:$E$601,"&gt;="&amp;DATE($B$14,4,1),Cuotas!$E$2:$E$601,"&lt;="&amp;EOMONTH(DATE($B$14,4,1),0))</f>
        <v/>
      </c>
      <c r="C19" s="29">
        <f>SUMIFS(Cuotas!$F$2:$F$601,Cuotas!$I$2:$I$601,"Pagado",Cuotas!$J$2:$J$601,"&gt;="&amp;DATE($B$14,4,1),Cuotas!$J$2:$J$601,"&lt;="&amp;EOMONTH(DATE($B$14,4,1),0))</f>
        <v/>
      </c>
      <c r="D19" s="29">
        <f>SUMIFS(Cuotas!$G$2:$G$601,Cuotas!$I$2:$I$601,"Pagado",Cuotas!$J$2:$J$601,"&gt;="&amp;DATE($B$14,4,1),Cuotas!$J$2:$J$601,"&lt;="&amp;EOMONTH(DATE($B$14,4,1),0))</f>
        <v/>
      </c>
      <c r="E19" s="29">
        <f>C19+D19</f>
        <v/>
      </c>
    </row>
    <row r="20">
      <c r="A20" s="2" t="inlineStr">
        <is>
          <t>Mayo</t>
        </is>
      </c>
      <c r="B20" s="29">
        <f>SUMIFS(Cuotas!$H$2:$H$601,Cuotas!$I$2:$I$601,"Pendiente",Cuotas!$E$2:$E$601,"&gt;="&amp;DATE($B$14,5,1),Cuotas!$E$2:$E$601,"&lt;="&amp;EOMONTH(DATE($B$14,5,1),0))</f>
        <v/>
      </c>
      <c r="C20" s="29">
        <f>SUMIFS(Cuotas!$F$2:$F$601,Cuotas!$I$2:$I$601,"Pagado",Cuotas!$J$2:$J$601,"&gt;="&amp;DATE($B$14,5,1),Cuotas!$J$2:$J$601,"&lt;="&amp;EOMONTH(DATE($B$14,5,1),0))</f>
        <v/>
      </c>
      <c r="D20" s="29">
        <f>SUMIFS(Cuotas!$G$2:$G$601,Cuotas!$I$2:$I$601,"Pagado",Cuotas!$J$2:$J$601,"&gt;="&amp;DATE($B$14,5,1),Cuotas!$J$2:$J$601,"&lt;="&amp;EOMONTH(DATE($B$14,5,1),0))</f>
        <v/>
      </c>
      <c r="E20" s="29">
        <f>C20+D20</f>
        <v/>
      </c>
    </row>
    <row r="21">
      <c r="A21" s="2" t="inlineStr">
        <is>
          <t>Junio</t>
        </is>
      </c>
      <c r="B21" s="29">
        <f>SUMIFS(Cuotas!$H$2:$H$601,Cuotas!$I$2:$I$601,"Pendiente",Cuotas!$E$2:$E$601,"&gt;="&amp;DATE($B$14,6,1),Cuotas!$E$2:$E$601,"&lt;="&amp;EOMONTH(DATE($B$14,6,1),0))</f>
        <v/>
      </c>
      <c r="C21" s="29">
        <f>SUMIFS(Cuotas!$F$2:$F$601,Cuotas!$I$2:$I$601,"Pagado",Cuotas!$J$2:$J$601,"&gt;="&amp;DATE($B$14,6,1),Cuotas!$J$2:$J$601,"&lt;="&amp;EOMONTH(DATE($B$14,6,1),0))</f>
        <v/>
      </c>
      <c r="D21" s="29">
        <f>SUMIFS(Cuotas!$G$2:$G$601,Cuotas!$I$2:$I$601,"Pagado",Cuotas!$J$2:$J$601,"&gt;="&amp;DATE($B$14,6,1),Cuotas!$J$2:$J$601,"&lt;="&amp;EOMONTH(DATE($B$14,6,1),0))</f>
        <v/>
      </c>
      <c r="E21" s="29">
        <f>C21+D21</f>
        <v/>
      </c>
    </row>
    <row r="22">
      <c r="A22" s="2" t="inlineStr">
        <is>
          <t>Julio</t>
        </is>
      </c>
      <c r="B22" s="29">
        <f>SUMIFS(Cuotas!$H$2:$H$601,Cuotas!$I$2:$I$601,"Pendiente",Cuotas!$E$2:$E$601,"&gt;="&amp;DATE($B$14,7,1),Cuotas!$E$2:$E$601,"&lt;="&amp;EOMONTH(DATE($B$14,7,1),0))</f>
        <v/>
      </c>
      <c r="C22" s="29">
        <f>SUMIFS(Cuotas!$F$2:$F$601,Cuotas!$I$2:$I$601,"Pagado",Cuotas!$J$2:$J$601,"&gt;="&amp;DATE($B$14,7,1),Cuotas!$J$2:$J$601,"&lt;="&amp;EOMONTH(DATE($B$14,7,1),0))</f>
        <v/>
      </c>
      <c r="D22" s="29">
        <f>SUMIFS(Cuotas!$G$2:$G$601,Cuotas!$I$2:$I$601,"Pagado",Cuotas!$J$2:$J$601,"&gt;="&amp;DATE($B$14,7,1),Cuotas!$J$2:$J$601,"&lt;="&amp;EOMONTH(DATE($B$14,7,1),0))</f>
        <v/>
      </c>
      <c r="E22" s="29">
        <f>C22+D22</f>
        <v/>
      </c>
    </row>
    <row r="23">
      <c r="A23" s="2" t="inlineStr">
        <is>
          <t>Agosto</t>
        </is>
      </c>
      <c r="B23" s="29">
        <f>SUMIFS(Cuotas!$H$2:$H$601,Cuotas!$I$2:$I$601,"Pendiente",Cuotas!$E$2:$E$601,"&gt;="&amp;DATE($B$14,8,1),Cuotas!$E$2:$E$601,"&lt;="&amp;EOMONTH(DATE($B$14,8,1),0))</f>
        <v/>
      </c>
      <c r="C23" s="29">
        <f>SUMIFS(Cuotas!$F$2:$F$601,Cuotas!$I$2:$I$601,"Pagado",Cuotas!$J$2:$J$601,"&gt;="&amp;DATE($B$14,8,1),Cuotas!$J$2:$J$601,"&lt;="&amp;EOMONTH(DATE($B$14,8,1),0))</f>
        <v/>
      </c>
      <c r="D23" s="29">
        <f>SUMIFS(Cuotas!$G$2:$G$601,Cuotas!$I$2:$I$601,"Pagado",Cuotas!$J$2:$J$601,"&gt;="&amp;DATE($B$14,8,1),Cuotas!$J$2:$J$601,"&lt;="&amp;EOMONTH(DATE($B$14,8,1),0))</f>
        <v/>
      </c>
      <c r="E23" s="29">
        <f>C23+D23</f>
        <v/>
      </c>
    </row>
    <row r="24">
      <c r="A24" s="2" t="inlineStr">
        <is>
          <t>Septiembre</t>
        </is>
      </c>
      <c r="B24" s="29">
        <f>SUMIFS(Cuotas!$H$2:$H$601,Cuotas!$I$2:$I$601,"Pendiente",Cuotas!$E$2:$E$601,"&gt;="&amp;DATE($B$14,9,1),Cuotas!$E$2:$E$601,"&lt;="&amp;EOMONTH(DATE($B$14,9,1),0))</f>
        <v/>
      </c>
      <c r="C24" s="29">
        <f>SUMIFS(Cuotas!$F$2:$F$601,Cuotas!$I$2:$I$601,"Pagado",Cuotas!$J$2:$J$601,"&gt;="&amp;DATE($B$14,9,1),Cuotas!$J$2:$J$601,"&lt;="&amp;EOMONTH(DATE($B$14,9,1),0))</f>
        <v/>
      </c>
      <c r="D24" s="29">
        <f>SUMIFS(Cuotas!$G$2:$G$601,Cuotas!$I$2:$I$601,"Pagado",Cuotas!$J$2:$J$601,"&gt;="&amp;DATE($B$14,9,1),Cuotas!$J$2:$J$601,"&lt;="&amp;EOMONTH(DATE($B$14,9,1),0))</f>
        <v/>
      </c>
      <c r="E24" s="29">
        <f>C24+D24</f>
        <v/>
      </c>
    </row>
    <row r="25">
      <c r="A25" s="2" t="inlineStr">
        <is>
          <t>Octubre</t>
        </is>
      </c>
      <c r="B25" s="29">
        <f>SUMIFS(Cuotas!$H$2:$H$601,Cuotas!$I$2:$I$601,"Pendiente",Cuotas!$E$2:$E$601,"&gt;="&amp;DATE($B$14,10,1),Cuotas!$E$2:$E$601,"&lt;="&amp;EOMONTH(DATE($B$14,10,1),0))</f>
        <v/>
      </c>
      <c r="C25" s="29">
        <f>SUMIFS(Cuotas!$F$2:$F$601,Cuotas!$I$2:$I$601,"Pagado",Cuotas!$J$2:$J$601,"&gt;="&amp;DATE($B$14,10,1),Cuotas!$J$2:$J$601,"&lt;="&amp;EOMONTH(DATE($B$14,10,1),0))</f>
        <v/>
      </c>
      <c r="D25" s="29">
        <f>SUMIFS(Cuotas!$G$2:$G$601,Cuotas!$I$2:$I$601,"Pagado",Cuotas!$J$2:$J$601,"&gt;="&amp;DATE($B$14,10,1),Cuotas!$J$2:$J$601,"&lt;="&amp;EOMONTH(DATE($B$14,10,1),0))</f>
        <v/>
      </c>
      <c r="E25" s="29">
        <f>C25+D25</f>
        <v/>
      </c>
    </row>
    <row r="26">
      <c r="A26" s="2" t="inlineStr">
        <is>
          <t>Noviembre</t>
        </is>
      </c>
      <c r="B26" s="29">
        <f>SUMIFS(Cuotas!$H$2:$H$601,Cuotas!$I$2:$I$601,"Pendiente",Cuotas!$E$2:$E$601,"&gt;="&amp;DATE($B$14,11,1),Cuotas!$E$2:$E$601,"&lt;="&amp;EOMONTH(DATE($B$14,11,1),0))</f>
        <v/>
      </c>
      <c r="C26" s="29">
        <f>SUMIFS(Cuotas!$F$2:$F$601,Cuotas!$I$2:$I$601,"Pagado",Cuotas!$J$2:$J$601,"&gt;="&amp;DATE($B$14,11,1),Cuotas!$J$2:$J$601,"&lt;="&amp;EOMONTH(DATE($B$14,11,1),0))</f>
        <v/>
      </c>
      <c r="D26" s="29">
        <f>SUMIFS(Cuotas!$G$2:$G$601,Cuotas!$I$2:$I$601,"Pagado",Cuotas!$J$2:$J$601,"&gt;="&amp;DATE($B$14,11,1),Cuotas!$J$2:$J$601,"&lt;="&amp;EOMONTH(DATE($B$14,11,1),0))</f>
        <v/>
      </c>
      <c r="E26" s="29">
        <f>C26+D26</f>
        <v/>
      </c>
    </row>
    <row r="27">
      <c r="A27" s="2" t="inlineStr">
        <is>
          <t>Diciembre</t>
        </is>
      </c>
      <c r="B27" s="29">
        <f>SUMIFS(Cuotas!$H$2:$H$601,Cuotas!$I$2:$I$601,"Pendiente",Cuotas!$E$2:$E$601,"&gt;="&amp;DATE($B$14,12,1),Cuotas!$E$2:$E$601,"&lt;="&amp;EOMONTH(DATE($B$14,12,1),0))</f>
        <v/>
      </c>
      <c r="C27" s="29">
        <f>SUMIFS(Cuotas!$F$2:$F$601,Cuotas!$I$2:$I$601,"Pagado",Cuotas!$J$2:$J$601,"&gt;="&amp;DATE($B$14,12,1),Cuotas!$J$2:$J$601,"&lt;="&amp;EOMONTH(DATE($B$14,12,1),0))</f>
        <v/>
      </c>
      <c r="D27" s="29">
        <f>SUMIFS(Cuotas!$G$2:$G$601,Cuotas!$I$2:$I$601,"Pagado",Cuotas!$J$2:$J$601,"&gt;="&amp;DATE($B$14,12,1),Cuotas!$J$2:$J$601,"&lt;="&amp;EOMONTH(DATE($B$14,12,1),0))</f>
        <v/>
      </c>
      <c r="E27" s="29">
        <f>C27+D27</f>
        <v/>
      </c>
    </row>
    <row r="28">
      <c r="A28" s="3" t="inlineStr">
        <is>
          <t>Total del año</t>
        </is>
      </c>
      <c r="B28" s="30">
        <f>SUM(B16:B27)</f>
        <v/>
      </c>
      <c r="C28" s="30">
        <f>SUM(C16:C27)</f>
        <v/>
      </c>
      <c r="D28" s="30">
        <f>SUM(D16:D27)</f>
        <v/>
      </c>
      <c r="E28" s="30">
        <f>SUM(E16:E27)</f>
        <v/>
      </c>
    </row>
  </sheetData>
  <conditionalFormatting sqref="B9">
    <cfRule type="expression" priority="1" dxfId="0">
      <formula>B9&gt;0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11" customWidth="1" min="4" max="4"/>
    <col width="13" customWidth="1" min="5" max="5"/>
    <col width="9" customWidth="1" min="6" max="6"/>
    <col width="7" customWidth="1" min="7" max="7"/>
    <col width="34" customWidth="1" min="8" max="8"/>
    <col width="11" customWidth="1" min="9" max="9"/>
    <col width="11" customWidth="1" min="10" max="10"/>
    <col width="11" customWidth="1" min="11" max="11"/>
    <col width="11" customWidth="1" min="12" max="12"/>
    <col width="40" customWidth="1" min="13" max="13"/>
    <col width="12" customWidth="1" min="14" max="14"/>
    <col width="11" customWidth="1" min="15" max="15"/>
    <col width="13" customWidth="1" min="16" max="16"/>
    <col width="10" customWidth="1" min="17" max="17"/>
    <col width="11" customWidth="1" min="18" max="18"/>
  </cols>
  <sheetData>
    <row r="1" ht="30" customHeight="1">
      <c r="A1" s="12" t="inlineStr">
        <is>
          <t>N°</t>
        </is>
      </c>
      <c r="B1" s="12" t="inlineStr">
        <is>
          <t>Cliente</t>
        </is>
      </c>
      <c r="C1" s="12" t="inlineStr">
        <is>
          <t>Teléfono</t>
        </is>
      </c>
      <c r="D1" s="12" t="inlineStr">
        <is>
          <t>Capital</t>
        </is>
      </c>
      <c r="E1" s="12" t="inlineStr">
        <is>
          <t>Tipo de interés</t>
        </is>
      </c>
      <c r="F1" s="12" t="inlineStr">
        <is>
          <t>Valor
(% o S/)</t>
        </is>
      </c>
      <c r="G1" s="12" t="inlineStr">
        <is>
          <t>Meses</t>
        </is>
      </c>
      <c r="H1" s="12" t="inlineStr">
        <is>
          <t>Nota</t>
        </is>
      </c>
      <c r="I1" s="13" t="inlineStr">
        <is>
          <t>Interés total</t>
        </is>
      </c>
      <c r="J1" s="13" t="inlineStr">
        <is>
          <t>Capital por cuota</t>
        </is>
      </c>
      <c r="K1" s="13" t="inlineStr">
        <is>
          <t>Interés por cuota</t>
        </is>
      </c>
      <c r="L1" s="13" t="inlineStr">
        <is>
          <t>Cuota mensual</t>
        </is>
      </c>
      <c r="M1" s="13" t="inlineStr">
        <is>
          <t>Fórmula (como tu nota)</t>
        </is>
      </c>
      <c r="N1" s="13" t="inlineStr">
        <is>
          <t>Capital pendiente</t>
        </is>
      </c>
      <c r="O1" s="13" t="inlineStr">
        <is>
          <t>Interés cobrado</t>
        </is>
      </c>
      <c r="P1" s="13" t="inlineStr">
        <is>
          <t>Próximo vencimiento</t>
        </is>
      </c>
      <c r="Q1" s="13" t="inlineStr">
        <is>
          <t>Cuotas pagadas</t>
        </is>
      </c>
      <c r="R1" s="13" t="inlineStr">
        <is>
          <t>Estado</t>
        </is>
      </c>
    </row>
    <row r="2">
      <c r="A2" s="14" t="n">
        <v>1</v>
      </c>
      <c r="B2" s="14" t="inlineStr">
        <is>
          <t>María (ejemplo)</t>
        </is>
      </c>
      <c r="C2" s="14" t="inlineStr"/>
      <c r="D2" s="31" t="n">
        <v>1000</v>
      </c>
      <c r="E2" s="14" t="inlineStr">
        <is>
          <t>%</t>
        </is>
      </c>
      <c r="F2" s="14" t="n">
        <v>16</v>
      </c>
      <c r="G2" s="14" t="n">
        <v>2</v>
      </c>
      <c r="H2" s="14" t="inlineStr"/>
      <c r="I2" s="29">
        <f>IF($A2="","",IF(E2="%",D2*F2/100,IF(E2="Fijo por mes",F2*G2,F2)))</f>
        <v/>
      </c>
      <c r="J2" s="29">
        <f>IF($A2="","",ROUNDUP(D2/G2,0))</f>
        <v/>
      </c>
      <c r="K2" s="29">
        <f>IF($A2="","",ROUNDDOWN(I2/G2,0))</f>
        <v/>
      </c>
      <c r="L2" s="29">
        <f>IF($A2="","",J2+K2)</f>
        <v/>
      </c>
      <c r="M2" s="16">
        <f>IF($A2="","",IF(E2="%",D2&amp;"*"&amp;F2&amp;"%",IF(E2="Fijo por mes",D2&amp;"cap+"&amp;F2&amp;"int/mes",D2&amp;"cap+"&amp;I2&amp;"int"))&amp;IF(G2&gt;1,IF(E2="Fijo por mes"," x ","/")&amp;G2&amp;"mes","")&amp;"  →  "&amp;J2&amp;"cap+"&amp;K2&amp;"int="&amp;L2)</f>
        <v/>
      </c>
      <c r="N2" s="29">
        <f>IF($A2="","",SUMIFS(Cuotas!$F$2:$F$601,Cuotas!$A$2:$A$601,$A2,Cuotas!$I$2:$I$601,"Pendiente"))</f>
        <v/>
      </c>
      <c r="O2" s="29">
        <f>IF($A2="","",SUMIFS(Cuotas!$G$2:$G$601,Cuotas!$A$2:$A$601,$A2,Cuotas!$I$2:$I$601,"Pagado"))</f>
        <v/>
      </c>
      <c r="P2" s="32">
        <f>IF($A2="","",IF(COUNTIFS(Cuotas!$A$2:$A$601,$A2,Cuotas!$I$2:$I$601,"Pendiente")=0,"—",_xlfn.MINIFS(Cuotas!$E$2:$E$601,Cuotas!$A$2:$A$601,$A2,Cuotas!$I$2:$I$601,"Pendiente")))</f>
        <v/>
      </c>
      <c r="Q2" s="18">
        <f>IF($A2="","",COUNTIFS(Cuotas!$A$2:$A$601,$A2,Cuotas!$I$2:$I$601,"Pagado")&amp;"/"&amp;COUNTIFS(Cuotas!$A$2:$A$601,$A2))</f>
        <v/>
      </c>
      <c r="R2" s="16">
        <f>IF($A2="","",IF(COUNTIFS(Cuotas!$A$2:$A$601,$A2,Cuotas!$I$2:$I$601,"Pendiente")=0,"Terminado",IF(P2&lt;TODAY(),"Atrasado","Al día")))</f>
        <v/>
      </c>
    </row>
    <row r="3">
      <c r="A3" s="14" t="n">
        <v>2</v>
      </c>
      <c r="B3" s="14" t="inlineStr">
        <is>
          <t>Juan (ejemplo)</t>
        </is>
      </c>
      <c r="C3" s="14" t="inlineStr"/>
      <c r="D3" s="31" t="n">
        <v>2000</v>
      </c>
      <c r="E3" s="14" t="inlineStr">
        <is>
          <t>%</t>
        </is>
      </c>
      <c r="F3" s="14" t="n">
        <v>20</v>
      </c>
      <c r="G3" s="14" t="n">
        <v>3</v>
      </c>
      <c r="H3" s="14" t="inlineStr">
        <is>
          <t>Pagó solo interés un mes → 3/3 +1 (4/4)</t>
        </is>
      </c>
      <c r="I3" s="29">
        <f>IF($A3="","",IF(E3="%",D3*F3/100,IF(E3="Fijo por mes",F3*G3,F3)))</f>
        <v/>
      </c>
      <c r="J3" s="29">
        <f>IF($A3="","",ROUNDUP(D3/G3,0))</f>
        <v/>
      </c>
      <c r="K3" s="29">
        <f>IF($A3="","",ROUNDDOWN(I3/G3,0))</f>
        <v/>
      </c>
      <c r="L3" s="29">
        <f>IF($A3="","",J3+K3)</f>
        <v/>
      </c>
      <c r="M3" s="16">
        <f>IF($A3="","",IF(E3="%",D3&amp;"*"&amp;F3&amp;"%",IF(E3="Fijo por mes",D3&amp;"cap+"&amp;F3&amp;"int/mes",D3&amp;"cap+"&amp;I3&amp;"int"))&amp;IF(G3&gt;1,IF(E3="Fijo por mes"," x ","/")&amp;G3&amp;"mes","")&amp;"  →  "&amp;J3&amp;"cap+"&amp;K3&amp;"int="&amp;L3)</f>
        <v/>
      </c>
      <c r="N3" s="29">
        <f>IF($A3="","",SUMIFS(Cuotas!$F$2:$F$601,Cuotas!$A$2:$A$601,$A3,Cuotas!$I$2:$I$601,"Pendiente"))</f>
        <v/>
      </c>
      <c r="O3" s="29">
        <f>IF($A3="","",SUMIFS(Cuotas!$G$2:$G$601,Cuotas!$A$2:$A$601,$A3,Cuotas!$I$2:$I$601,"Pagado"))</f>
        <v/>
      </c>
      <c r="P3" s="32">
        <f>IF($A3="","",IF(COUNTIFS(Cuotas!$A$2:$A$601,$A3,Cuotas!$I$2:$I$601,"Pendiente")=0,"—",_xlfn.MINIFS(Cuotas!$E$2:$E$601,Cuotas!$A$2:$A$601,$A3,Cuotas!$I$2:$I$601,"Pendiente")))</f>
        <v/>
      </c>
      <c r="Q3" s="18">
        <f>IF($A3="","",COUNTIFS(Cuotas!$A$2:$A$601,$A3,Cuotas!$I$2:$I$601,"Pagado")&amp;"/"&amp;COUNTIFS(Cuotas!$A$2:$A$601,$A3))</f>
        <v/>
      </c>
      <c r="R3" s="16">
        <f>IF($A3="","",IF(COUNTIFS(Cuotas!$A$2:$A$601,$A3,Cuotas!$I$2:$I$601,"Pendiente")=0,"Terminado",IF(P3&lt;TODAY(),"Atrasado","Al día")))</f>
        <v/>
      </c>
    </row>
    <row r="4">
      <c r="A4" s="14" t="n">
        <v>3</v>
      </c>
      <c r="B4" s="14" t="inlineStr">
        <is>
          <t>Pedro y Rosa (ejemplo)</t>
        </is>
      </c>
      <c r="C4" s="14" t="inlineStr"/>
      <c r="D4" s="31" t="n">
        <v>1700</v>
      </c>
      <c r="E4" s="14" t="inlineStr">
        <is>
          <t>Fijo por mes</t>
        </is>
      </c>
      <c r="F4" s="14" t="n">
        <v>25</v>
      </c>
      <c r="G4" s="14" t="n">
        <v>4</v>
      </c>
      <c r="H4" s="14" t="inlineStr">
        <is>
          <t>Refinanciado: 1400cap+500int-200=1700. Interés simbólico 25/mes.</t>
        </is>
      </c>
      <c r="I4" s="29">
        <f>IF($A4="","",IF(E4="%",D4*F4/100,IF(E4="Fijo por mes",F4*G4,F4)))</f>
        <v/>
      </c>
      <c r="J4" s="29">
        <f>IF($A4="","",ROUNDUP(D4/G4,0))</f>
        <v/>
      </c>
      <c r="K4" s="29">
        <f>IF($A4="","",ROUNDDOWN(I4/G4,0))</f>
        <v/>
      </c>
      <c r="L4" s="29">
        <f>IF($A4="","",J4+K4)</f>
        <v/>
      </c>
      <c r="M4" s="16">
        <f>IF($A4="","",IF(E4="%",D4&amp;"*"&amp;F4&amp;"%",IF(E4="Fijo por mes",D4&amp;"cap+"&amp;F4&amp;"int/mes",D4&amp;"cap+"&amp;I4&amp;"int"))&amp;IF(G4&gt;1,IF(E4="Fijo por mes"," x ","/")&amp;G4&amp;"mes","")&amp;"  →  "&amp;J4&amp;"cap+"&amp;K4&amp;"int="&amp;L4)</f>
        <v/>
      </c>
      <c r="N4" s="29">
        <f>IF($A4="","",SUMIFS(Cuotas!$F$2:$F$601,Cuotas!$A$2:$A$601,$A4,Cuotas!$I$2:$I$601,"Pendiente"))</f>
        <v/>
      </c>
      <c r="O4" s="29">
        <f>IF($A4="","",SUMIFS(Cuotas!$G$2:$G$601,Cuotas!$A$2:$A$601,$A4,Cuotas!$I$2:$I$601,"Pagado"))</f>
        <v/>
      </c>
      <c r="P4" s="32">
        <f>IF($A4="","",IF(COUNTIFS(Cuotas!$A$2:$A$601,$A4,Cuotas!$I$2:$I$601,"Pendiente")=0,"—",_xlfn.MINIFS(Cuotas!$E$2:$E$601,Cuotas!$A$2:$A$601,$A4,Cuotas!$I$2:$I$601,"Pendiente")))</f>
        <v/>
      </c>
      <c r="Q4" s="18">
        <f>IF($A4="","",COUNTIFS(Cuotas!$A$2:$A$601,$A4,Cuotas!$I$2:$I$601,"Pagado")&amp;"/"&amp;COUNTIFS(Cuotas!$A$2:$A$601,$A4))</f>
        <v/>
      </c>
      <c r="R4" s="16">
        <f>IF($A4="","",IF(COUNTIFS(Cuotas!$A$2:$A$601,$A4,Cuotas!$I$2:$I$601,"Pendiente")=0,"Terminado",IF(P4&lt;TODAY(),"Atrasado","Al día")))</f>
        <v/>
      </c>
    </row>
    <row r="5">
      <c r="A5" s="14" t="n"/>
      <c r="B5" s="14" t="n"/>
      <c r="C5" s="14" t="n"/>
      <c r="D5" s="31" t="n"/>
      <c r="E5" s="14" t="n"/>
      <c r="F5" s="14" t="n"/>
      <c r="G5" s="14" t="n"/>
      <c r="H5" s="14" t="n"/>
      <c r="I5" s="29">
        <f>IF($A5="","",IF(E5="%",D5*F5/100,IF(E5="Fijo por mes",F5*G5,F5)))</f>
        <v/>
      </c>
      <c r="J5" s="29">
        <f>IF($A5="","",ROUNDUP(D5/G5,0))</f>
        <v/>
      </c>
      <c r="K5" s="29">
        <f>IF($A5="","",ROUNDDOWN(I5/G5,0))</f>
        <v/>
      </c>
      <c r="L5" s="29">
        <f>IF($A5="","",J5+K5)</f>
        <v/>
      </c>
      <c r="M5" s="16">
        <f>IF($A5="","",IF(E5="%",D5&amp;"*"&amp;F5&amp;"%",IF(E5="Fijo por mes",D5&amp;"cap+"&amp;F5&amp;"int/mes",D5&amp;"cap+"&amp;I5&amp;"int"))&amp;IF(G5&gt;1,IF(E5="Fijo por mes"," x ","/")&amp;G5&amp;"mes","")&amp;"  →  "&amp;J5&amp;"cap+"&amp;K5&amp;"int="&amp;L5)</f>
        <v/>
      </c>
      <c r="N5" s="29">
        <f>IF($A5="","",SUMIFS(Cuotas!$F$2:$F$601,Cuotas!$A$2:$A$601,$A5,Cuotas!$I$2:$I$601,"Pendiente"))</f>
        <v/>
      </c>
      <c r="O5" s="29">
        <f>IF($A5="","",SUMIFS(Cuotas!$G$2:$G$601,Cuotas!$A$2:$A$601,$A5,Cuotas!$I$2:$I$601,"Pagado"))</f>
        <v/>
      </c>
      <c r="P5" s="32">
        <f>IF($A5="","",IF(COUNTIFS(Cuotas!$A$2:$A$601,$A5,Cuotas!$I$2:$I$601,"Pendiente")=0,"—",_xlfn.MINIFS(Cuotas!$E$2:$E$601,Cuotas!$A$2:$A$601,$A5,Cuotas!$I$2:$I$601,"Pendiente")))</f>
        <v/>
      </c>
      <c r="Q5" s="18">
        <f>IF($A5="","",COUNTIFS(Cuotas!$A$2:$A$601,$A5,Cuotas!$I$2:$I$601,"Pagado")&amp;"/"&amp;COUNTIFS(Cuotas!$A$2:$A$601,$A5))</f>
        <v/>
      </c>
      <c r="R5" s="16">
        <f>IF($A5="","",IF(COUNTIFS(Cuotas!$A$2:$A$601,$A5,Cuotas!$I$2:$I$601,"Pendiente")=0,"Terminado",IF(P5&lt;TODAY(),"Atrasado","Al día")))</f>
        <v/>
      </c>
    </row>
    <row r="6">
      <c r="A6" s="14" t="n"/>
      <c r="B6" s="14" t="n"/>
      <c r="C6" s="14" t="n"/>
      <c r="D6" s="31" t="n"/>
      <c r="E6" s="14" t="n"/>
      <c r="F6" s="14" t="n"/>
      <c r="G6" s="14" t="n"/>
      <c r="H6" s="14" t="n"/>
      <c r="I6" s="29">
        <f>IF($A6="","",IF(E6="%",D6*F6/100,IF(E6="Fijo por mes",F6*G6,F6)))</f>
        <v/>
      </c>
      <c r="J6" s="29">
        <f>IF($A6="","",ROUNDUP(D6/G6,0))</f>
        <v/>
      </c>
      <c r="K6" s="29">
        <f>IF($A6="","",ROUNDDOWN(I6/G6,0))</f>
        <v/>
      </c>
      <c r="L6" s="29">
        <f>IF($A6="","",J6+K6)</f>
        <v/>
      </c>
      <c r="M6" s="16">
        <f>IF($A6="","",IF(E6="%",D6&amp;"*"&amp;F6&amp;"%",IF(E6="Fijo por mes",D6&amp;"cap+"&amp;F6&amp;"int/mes",D6&amp;"cap+"&amp;I6&amp;"int"))&amp;IF(G6&gt;1,IF(E6="Fijo por mes"," x ","/")&amp;G6&amp;"mes","")&amp;"  →  "&amp;J6&amp;"cap+"&amp;K6&amp;"int="&amp;L6)</f>
        <v/>
      </c>
      <c r="N6" s="29">
        <f>IF($A6="","",SUMIFS(Cuotas!$F$2:$F$601,Cuotas!$A$2:$A$601,$A6,Cuotas!$I$2:$I$601,"Pendiente"))</f>
        <v/>
      </c>
      <c r="O6" s="29">
        <f>IF($A6="","",SUMIFS(Cuotas!$G$2:$G$601,Cuotas!$A$2:$A$601,$A6,Cuotas!$I$2:$I$601,"Pagado"))</f>
        <v/>
      </c>
      <c r="P6" s="32">
        <f>IF($A6="","",IF(COUNTIFS(Cuotas!$A$2:$A$601,$A6,Cuotas!$I$2:$I$601,"Pendiente")=0,"—",_xlfn.MINIFS(Cuotas!$E$2:$E$601,Cuotas!$A$2:$A$601,$A6,Cuotas!$I$2:$I$601,"Pendiente")))</f>
        <v/>
      </c>
      <c r="Q6" s="18">
        <f>IF($A6="","",COUNTIFS(Cuotas!$A$2:$A$601,$A6,Cuotas!$I$2:$I$601,"Pagado")&amp;"/"&amp;COUNTIFS(Cuotas!$A$2:$A$601,$A6))</f>
        <v/>
      </c>
      <c r="R6" s="16">
        <f>IF($A6="","",IF(COUNTIFS(Cuotas!$A$2:$A$601,$A6,Cuotas!$I$2:$I$601,"Pendiente")=0,"Terminado",IF(P6&lt;TODAY(),"Atrasado","Al día")))</f>
        <v/>
      </c>
    </row>
    <row r="7">
      <c r="A7" s="14" t="n"/>
      <c r="B7" s="14" t="n"/>
      <c r="C7" s="14" t="n"/>
      <c r="D7" s="31" t="n"/>
      <c r="E7" s="14" t="n"/>
      <c r="F7" s="14" t="n"/>
      <c r="G7" s="14" t="n"/>
      <c r="H7" s="14" t="n"/>
      <c r="I7" s="29">
        <f>IF($A7="","",IF(E7="%",D7*F7/100,IF(E7="Fijo por mes",F7*G7,F7)))</f>
        <v/>
      </c>
      <c r="J7" s="29">
        <f>IF($A7="","",ROUNDUP(D7/G7,0))</f>
        <v/>
      </c>
      <c r="K7" s="29">
        <f>IF($A7="","",ROUNDDOWN(I7/G7,0))</f>
        <v/>
      </c>
      <c r="L7" s="29">
        <f>IF($A7="","",J7+K7)</f>
        <v/>
      </c>
      <c r="M7" s="16">
        <f>IF($A7="","",IF(E7="%",D7&amp;"*"&amp;F7&amp;"%",IF(E7="Fijo por mes",D7&amp;"cap+"&amp;F7&amp;"int/mes",D7&amp;"cap+"&amp;I7&amp;"int"))&amp;IF(G7&gt;1,IF(E7="Fijo por mes"," x ","/")&amp;G7&amp;"mes","")&amp;"  →  "&amp;J7&amp;"cap+"&amp;K7&amp;"int="&amp;L7)</f>
        <v/>
      </c>
      <c r="N7" s="29">
        <f>IF($A7="","",SUMIFS(Cuotas!$F$2:$F$601,Cuotas!$A$2:$A$601,$A7,Cuotas!$I$2:$I$601,"Pendiente"))</f>
        <v/>
      </c>
      <c r="O7" s="29">
        <f>IF($A7="","",SUMIFS(Cuotas!$G$2:$G$601,Cuotas!$A$2:$A$601,$A7,Cuotas!$I$2:$I$601,"Pagado"))</f>
        <v/>
      </c>
      <c r="P7" s="32">
        <f>IF($A7="","",IF(COUNTIFS(Cuotas!$A$2:$A$601,$A7,Cuotas!$I$2:$I$601,"Pendiente")=0,"—",_xlfn.MINIFS(Cuotas!$E$2:$E$601,Cuotas!$A$2:$A$601,$A7,Cuotas!$I$2:$I$601,"Pendiente")))</f>
        <v/>
      </c>
      <c r="Q7" s="18">
        <f>IF($A7="","",COUNTIFS(Cuotas!$A$2:$A$601,$A7,Cuotas!$I$2:$I$601,"Pagado")&amp;"/"&amp;COUNTIFS(Cuotas!$A$2:$A$601,$A7))</f>
        <v/>
      </c>
      <c r="R7" s="16">
        <f>IF($A7="","",IF(COUNTIFS(Cuotas!$A$2:$A$601,$A7,Cuotas!$I$2:$I$601,"Pendiente")=0,"Terminado",IF(P7&lt;TODAY(),"Atrasado","Al día")))</f>
        <v/>
      </c>
    </row>
    <row r="8">
      <c r="A8" s="14" t="n"/>
      <c r="B8" s="14" t="n"/>
      <c r="C8" s="14" t="n"/>
      <c r="D8" s="31" t="n"/>
      <c r="E8" s="14" t="n"/>
      <c r="F8" s="14" t="n"/>
      <c r="G8" s="14" t="n"/>
      <c r="H8" s="14" t="n"/>
      <c r="I8" s="29">
        <f>IF($A8="","",IF(E8="%",D8*F8/100,IF(E8="Fijo por mes",F8*G8,F8)))</f>
        <v/>
      </c>
      <c r="J8" s="29">
        <f>IF($A8="","",ROUNDUP(D8/G8,0))</f>
        <v/>
      </c>
      <c r="K8" s="29">
        <f>IF($A8="","",ROUNDDOWN(I8/G8,0))</f>
        <v/>
      </c>
      <c r="L8" s="29">
        <f>IF($A8="","",J8+K8)</f>
        <v/>
      </c>
      <c r="M8" s="16">
        <f>IF($A8="","",IF(E8="%",D8&amp;"*"&amp;F8&amp;"%",IF(E8="Fijo por mes",D8&amp;"cap+"&amp;F8&amp;"int/mes",D8&amp;"cap+"&amp;I8&amp;"int"))&amp;IF(G8&gt;1,IF(E8="Fijo por mes"," x ","/")&amp;G8&amp;"mes","")&amp;"  →  "&amp;J8&amp;"cap+"&amp;K8&amp;"int="&amp;L8)</f>
        <v/>
      </c>
      <c r="N8" s="29">
        <f>IF($A8="","",SUMIFS(Cuotas!$F$2:$F$601,Cuotas!$A$2:$A$601,$A8,Cuotas!$I$2:$I$601,"Pendiente"))</f>
        <v/>
      </c>
      <c r="O8" s="29">
        <f>IF($A8="","",SUMIFS(Cuotas!$G$2:$G$601,Cuotas!$A$2:$A$601,$A8,Cuotas!$I$2:$I$601,"Pagado"))</f>
        <v/>
      </c>
      <c r="P8" s="32">
        <f>IF($A8="","",IF(COUNTIFS(Cuotas!$A$2:$A$601,$A8,Cuotas!$I$2:$I$601,"Pendiente")=0,"—",_xlfn.MINIFS(Cuotas!$E$2:$E$601,Cuotas!$A$2:$A$601,$A8,Cuotas!$I$2:$I$601,"Pendiente")))</f>
        <v/>
      </c>
      <c r="Q8" s="18">
        <f>IF($A8="","",COUNTIFS(Cuotas!$A$2:$A$601,$A8,Cuotas!$I$2:$I$601,"Pagado")&amp;"/"&amp;COUNTIFS(Cuotas!$A$2:$A$601,$A8))</f>
        <v/>
      </c>
      <c r="R8" s="16">
        <f>IF($A8="","",IF(COUNTIFS(Cuotas!$A$2:$A$601,$A8,Cuotas!$I$2:$I$601,"Pendiente")=0,"Terminado",IF(P8&lt;TODAY(),"Atrasado","Al día")))</f>
        <v/>
      </c>
    </row>
    <row r="9">
      <c r="A9" s="14" t="n"/>
      <c r="B9" s="14" t="n"/>
      <c r="C9" s="14" t="n"/>
      <c r="D9" s="31" t="n"/>
      <c r="E9" s="14" t="n"/>
      <c r="F9" s="14" t="n"/>
      <c r="G9" s="14" t="n"/>
      <c r="H9" s="14" t="n"/>
      <c r="I9" s="29">
        <f>IF($A9="","",IF(E9="%",D9*F9/100,IF(E9="Fijo por mes",F9*G9,F9)))</f>
        <v/>
      </c>
      <c r="J9" s="29">
        <f>IF($A9="","",ROUNDUP(D9/G9,0))</f>
        <v/>
      </c>
      <c r="K9" s="29">
        <f>IF($A9="","",ROUNDDOWN(I9/G9,0))</f>
        <v/>
      </c>
      <c r="L9" s="29">
        <f>IF($A9="","",J9+K9)</f>
        <v/>
      </c>
      <c r="M9" s="16">
        <f>IF($A9="","",IF(E9="%",D9&amp;"*"&amp;F9&amp;"%",IF(E9="Fijo por mes",D9&amp;"cap+"&amp;F9&amp;"int/mes",D9&amp;"cap+"&amp;I9&amp;"int"))&amp;IF(G9&gt;1,IF(E9="Fijo por mes"," x ","/")&amp;G9&amp;"mes","")&amp;"  →  "&amp;J9&amp;"cap+"&amp;K9&amp;"int="&amp;L9)</f>
        <v/>
      </c>
      <c r="N9" s="29">
        <f>IF($A9="","",SUMIFS(Cuotas!$F$2:$F$601,Cuotas!$A$2:$A$601,$A9,Cuotas!$I$2:$I$601,"Pendiente"))</f>
        <v/>
      </c>
      <c r="O9" s="29">
        <f>IF($A9="","",SUMIFS(Cuotas!$G$2:$G$601,Cuotas!$A$2:$A$601,$A9,Cuotas!$I$2:$I$601,"Pagado"))</f>
        <v/>
      </c>
      <c r="P9" s="32">
        <f>IF($A9="","",IF(COUNTIFS(Cuotas!$A$2:$A$601,$A9,Cuotas!$I$2:$I$601,"Pendiente")=0,"—",_xlfn.MINIFS(Cuotas!$E$2:$E$601,Cuotas!$A$2:$A$601,$A9,Cuotas!$I$2:$I$601,"Pendiente")))</f>
        <v/>
      </c>
      <c r="Q9" s="18">
        <f>IF($A9="","",COUNTIFS(Cuotas!$A$2:$A$601,$A9,Cuotas!$I$2:$I$601,"Pagado")&amp;"/"&amp;COUNTIFS(Cuotas!$A$2:$A$601,$A9))</f>
        <v/>
      </c>
      <c r="R9" s="16">
        <f>IF($A9="","",IF(COUNTIFS(Cuotas!$A$2:$A$601,$A9,Cuotas!$I$2:$I$601,"Pendiente")=0,"Terminado",IF(P9&lt;TODAY(),"Atrasado","Al día")))</f>
        <v/>
      </c>
    </row>
    <row r="10">
      <c r="A10" s="14" t="n"/>
      <c r="B10" s="14" t="n"/>
      <c r="C10" s="14" t="n"/>
      <c r="D10" s="31" t="n"/>
      <c r="E10" s="14" t="n"/>
      <c r="F10" s="14" t="n"/>
      <c r="G10" s="14" t="n"/>
      <c r="H10" s="14" t="n"/>
      <c r="I10" s="29">
        <f>IF($A10="","",IF(E10="%",D10*F10/100,IF(E10="Fijo por mes",F10*G10,F10)))</f>
        <v/>
      </c>
      <c r="J10" s="29">
        <f>IF($A10="","",ROUNDUP(D10/G10,0))</f>
        <v/>
      </c>
      <c r="K10" s="29">
        <f>IF($A10="","",ROUNDDOWN(I10/G10,0))</f>
        <v/>
      </c>
      <c r="L10" s="29">
        <f>IF($A10="","",J10+K10)</f>
        <v/>
      </c>
      <c r="M10" s="16">
        <f>IF($A10="","",IF(E10="%",D10&amp;"*"&amp;F10&amp;"%",IF(E10="Fijo por mes",D10&amp;"cap+"&amp;F10&amp;"int/mes",D10&amp;"cap+"&amp;I10&amp;"int"))&amp;IF(G10&gt;1,IF(E10="Fijo por mes"," x ","/")&amp;G10&amp;"mes","")&amp;"  →  "&amp;J10&amp;"cap+"&amp;K10&amp;"int="&amp;L10)</f>
        <v/>
      </c>
      <c r="N10" s="29">
        <f>IF($A10="","",SUMIFS(Cuotas!$F$2:$F$601,Cuotas!$A$2:$A$601,$A10,Cuotas!$I$2:$I$601,"Pendiente"))</f>
        <v/>
      </c>
      <c r="O10" s="29">
        <f>IF($A10="","",SUMIFS(Cuotas!$G$2:$G$601,Cuotas!$A$2:$A$601,$A10,Cuotas!$I$2:$I$601,"Pagado"))</f>
        <v/>
      </c>
      <c r="P10" s="32">
        <f>IF($A10="","",IF(COUNTIFS(Cuotas!$A$2:$A$601,$A10,Cuotas!$I$2:$I$601,"Pendiente")=0,"—",_xlfn.MINIFS(Cuotas!$E$2:$E$601,Cuotas!$A$2:$A$601,$A10,Cuotas!$I$2:$I$601,"Pendiente")))</f>
        <v/>
      </c>
      <c r="Q10" s="18">
        <f>IF($A10="","",COUNTIFS(Cuotas!$A$2:$A$601,$A10,Cuotas!$I$2:$I$601,"Pagado")&amp;"/"&amp;COUNTIFS(Cuotas!$A$2:$A$601,$A10))</f>
        <v/>
      </c>
      <c r="R10" s="16">
        <f>IF($A10="","",IF(COUNTIFS(Cuotas!$A$2:$A$601,$A10,Cuotas!$I$2:$I$601,"Pendiente")=0,"Terminado",IF(P10&lt;TODAY(),"Atrasado","Al día")))</f>
        <v/>
      </c>
    </row>
    <row r="11">
      <c r="A11" s="14" t="n"/>
      <c r="B11" s="14" t="n"/>
      <c r="C11" s="14" t="n"/>
      <c r="D11" s="31" t="n"/>
      <c r="E11" s="14" t="n"/>
      <c r="F11" s="14" t="n"/>
      <c r="G11" s="14" t="n"/>
      <c r="H11" s="14" t="n"/>
      <c r="I11" s="29">
        <f>IF($A11="","",IF(E11="%",D11*F11/100,IF(E11="Fijo por mes",F11*G11,F11)))</f>
        <v/>
      </c>
      <c r="J11" s="29">
        <f>IF($A11="","",ROUNDUP(D11/G11,0))</f>
        <v/>
      </c>
      <c r="K11" s="29">
        <f>IF($A11="","",ROUNDDOWN(I11/G11,0))</f>
        <v/>
      </c>
      <c r="L11" s="29">
        <f>IF($A11="","",J11+K11)</f>
        <v/>
      </c>
      <c r="M11" s="16">
        <f>IF($A11="","",IF(E11="%",D11&amp;"*"&amp;F11&amp;"%",IF(E11="Fijo por mes",D11&amp;"cap+"&amp;F11&amp;"int/mes",D11&amp;"cap+"&amp;I11&amp;"int"))&amp;IF(G11&gt;1,IF(E11="Fijo por mes"," x ","/")&amp;G11&amp;"mes","")&amp;"  →  "&amp;J11&amp;"cap+"&amp;K11&amp;"int="&amp;L11)</f>
        <v/>
      </c>
      <c r="N11" s="29">
        <f>IF($A11="","",SUMIFS(Cuotas!$F$2:$F$601,Cuotas!$A$2:$A$601,$A11,Cuotas!$I$2:$I$601,"Pendiente"))</f>
        <v/>
      </c>
      <c r="O11" s="29">
        <f>IF($A11="","",SUMIFS(Cuotas!$G$2:$G$601,Cuotas!$A$2:$A$601,$A11,Cuotas!$I$2:$I$601,"Pagado"))</f>
        <v/>
      </c>
      <c r="P11" s="32">
        <f>IF($A11="","",IF(COUNTIFS(Cuotas!$A$2:$A$601,$A11,Cuotas!$I$2:$I$601,"Pendiente")=0,"—",_xlfn.MINIFS(Cuotas!$E$2:$E$601,Cuotas!$A$2:$A$601,$A11,Cuotas!$I$2:$I$601,"Pendiente")))</f>
        <v/>
      </c>
      <c r="Q11" s="18">
        <f>IF($A11="","",COUNTIFS(Cuotas!$A$2:$A$601,$A11,Cuotas!$I$2:$I$601,"Pagado")&amp;"/"&amp;COUNTIFS(Cuotas!$A$2:$A$601,$A11))</f>
        <v/>
      </c>
      <c r="R11" s="16">
        <f>IF($A11="","",IF(COUNTIFS(Cuotas!$A$2:$A$601,$A11,Cuotas!$I$2:$I$601,"Pendiente")=0,"Terminado",IF(P11&lt;TODAY(),"Atrasado","Al día")))</f>
        <v/>
      </c>
    </row>
    <row r="12">
      <c r="A12" s="14" t="n"/>
      <c r="B12" s="14" t="n"/>
      <c r="C12" s="14" t="n"/>
      <c r="D12" s="31" t="n"/>
      <c r="E12" s="14" t="n"/>
      <c r="F12" s="14" t="n"/>
      <c r="G12" s="14" t="n"/>
      <c r="H12" s="14" t="n"/>
      <c r="I12" s="29">
        <f>IF($A12="","",IF(E12="%",D12*F12/100,IF(E12="Fijo por mes",F12*G12,F12)))</f>
        <v/>
      </c>
      <c r="J12" s="29">
        <f>IF($A12="","",ROUNDUP(D12/G12,0))</f>
        <v/>
      </c>
      <c r="K12" s="29">
        <f>IF($A12="","",ROUNDDOWN(I12/G12,0))</f>
        <v/>
      </c>
      <c r="L12" s="29">
        <f>IF($A12="","",J12+K12)</f>
        <v/>
      </c>
      <c r="M12" s="16">
        <f>IF($A12="","",IF(E12="%",D12&amp;"*"&amp;F12&amp;"%",IF(E12="Fijo por mes",D12&amp;"cap+"&amp;F12&amp;"int/mes",D12&amp;"cap+"&amp;I12&amp;"int"))&amp;IF(G12&gt;1,IF(E12="Fijo por mes"," x ","/")&amp;G12&amp;"mes","")&amp;"  →  "&amp;J12&amp;"cap+"&amp;K12&amp;"int="&amp;L12)</f>
        <v/>
      </c>
      <c r="N12" s="29">
        <f>IF($A12="","",SUMIFS(Cuotas!$F$2:$F$601,Cuotas!$A$2:$A$601,$A12,Cuotas!$I$2:$I$601,"Pendiente"))</f>
        <v/>
      </c>
      <c r="O12" s="29">
        <f>IF($A12="","",SUMIFS(Cuotas!$G$2:$G$601,Cuotas!$A$2:$A$601,$A12,Cuotas!$I$2:$I$601,"Pagado"))</f>
        <v/>
      </c>
      <c r="P12" s="32">
        <f>IF($A12="","",IF(COUNTIFS(Cuotas!$A$2:$A$601,$A12,Cuotas!$I$2:$I$601,"Pendiente")=0,"—",_xlfn.MINIFS(Cuotas!$E$2:$E$601,Cuotas!$A$2:$A$601,$A12,Cuotas!$I$2:$I$601,"Pendiente")))</f>
        <v/>
      </c>
      <c r="Q12" s="18">
        <f>IF($A12="","",COUNTIFS(Cuotas!$A$2:$A$601,$A12,Cuotas!$I$2:$I$601,"Pagado")&amp;"/"&amp;COUNTIFS(Cuotas!$A$2:$A$601,$A12))</f>
        <v/>
      </c>
      <c r="R12" s="16">
        <f>IF($A12="","",IF(COUNTIFS(Cuotas!$A$2:$A$601,$A12,Cuotas!$I$2:$I$601,"Pendiente")=0,"Terminado",IF(P12&lt;TODAY(),"Atrasado","Al día")))</f>
        <v/>
      </c>
    </row>
    <row r="13">
      <c r="A13" s="14" t="n"/>
      <c r="B13" s="14" t="n"/>
      <c r="C13" s="14" t="n"/>
      <c r="D13" s="31" t="n"/>
      <c r="E13" s="14" t="n"/>
      <c r="F13" s="14" t="n"/>
      <c r="G13" s="14" t="n"/>
      <c r="H13" s="14" t="n"/>
      <c r="I13" s="29">
        <f>IF($A13="","",IF(E13="%",D13*F13/100,IF(E13="Fijo por mes",F13*G13,F13)))</f>
        <v/>
      </c>
      <c r="J13" s="29">
        <f>IF($A13="","",ROUNDUP(D13/G13,0))</f>
        <v/>
      </c>
      <c r="K13" s="29">
        <f>IF($A13="","",ROUNDDOWN(I13/G13,0))</f>
        <v/>
      </c>
      <c r="L13" s="29">
        <f>IF($A13="","",J13+K13)</f>
        <v/>
      </c>
      <c r="M13" s="16">
        <f>IF($A13="","",IF(E13="%",D13&amp;"*"&amp;F13&amp;"%",IF(E13="Fijo por mes",D13&amp;"cap+"&amp;F13&amp;"int/mes",D13&amp;"cap+"&amp;I13&amp;"int"))&amp;IF(G13&gt;1,IF(E13="Fijo por mes"," x ","/")&amp;G13&amp;"mes","")&amp;"  →  "&amp;J13&amp;"cap+"&amp;K13&amp;"int="&amp;L13)</f>
        <v/>
      </c>
      <c r="N13" s="29">
        <f>IF($A13="","",SUMIFS(Cuotas!$F$2:$F$601,Cuotas!$A$2:$A$601,$A13,Cuotas!$I$2:$I$601,"Pendiente"))</f>
        <v/>
      </c>
      <c r="O13" s="29">
        <f>IF($A13="","",SUMIFS(Cuotas!$G$2:$G$601,Cuotas!$A$2:$A$601,$A13,Cuotas!$I$2:$I$601,"Pagado"))</f>
        <v/>
      </c>
      <c r="P13" s="32">
        <f>IF($A13="","",IF(COUNTIFS(Cuotas!$A$2:$A$601,$A13,Cuotas!$I$2:$I$601,"Pendiente")=0,"—",_xlfn.MINIFS(Cuotas!$E$2:$E$601,Cuotas!$A$2:$A$601,$A13,Cuotas!$I$2:$I$601,"Pendiente")))</f>
        <v/>
      </c>
      <c r="Q13" s="18">
        <f>IF($A13="","",COUNTIFS(Cuotas!$A$2:$A$601,$A13,Cuotas!$I$2:$I$601,"Pagado")&amp;"/"&amp;COUNTIFS(Cuotas!$A$2:$A$601,$A13))</f>
        <v/>
      </c>
      <c r="R13" s="16">
        <f>IF($A13="","",IF(COUNTIFS(Cuotas!$A$2:$A$601,$A13,Cuotas!$I$2:$I$601,"Pendiente")=0,"Terminado",IF(P13&lt;TODAY(),"Atrasado","Al día")))</f>
        <v/>
      </c>
    </row>
    <row r="14">
      <c r="A14" s="14" t="n"/>
      <c r="B14" s="14" t="n"/>
      <c r="C14" s="14" t="n"/>
      <c r="D14" s="31" t="n"/>
      <c r="E14" s="14" t="n"/>
      <c r="F14" s="14" t="n"/>
      <c r="G14" s="14" t="n"/>
      <c r="H14" s="14" t="n"/>
      <c r="I14" s="29">
        <f>IF($A14="","",IF(E14="%",D14*F14/100,IF(E14="Fijo por mes",F14*G14,F14)))</f>
        <v/>
      </c>
      <c r="J14" s="29">
        <f>IF($A14="","",ROUNDUP(D14/G14,0))</f>
        <v/>
      </c>
      <c r="K14" s="29">
        <f>IF($A14="","",ROUNDDOWN(I14/G14,0))</f>
        <v/>
      </c>
      <c r="L14" s="29">
        <f>IF($A14="","",J14+K14)</f>
        <v/>
      </c>
      <c r="M14" s="16">
        <f>IF($A14="","",IF(E14="%",D14&amp;"*"&amp;F14&amp;"%",IF(E14="Fijo por mes",D14&amp;"cap+"&amp;F14&amp;"int/mes",D14&amp;"cap+"&amp;I14&amp;"int"))&amp;IF(G14&gt;1,IF(E14="Fijo por mes"," x ","/")&amp;G14&amp;"mes","")&amp;"  →  "&amp;J14&amp;"cap+"&amp;K14&amp;"int="&amp;L14)</f>
        <v/>
      </c>
      <c r="N14" s="29">
        <f>IF($A14="","",SUMIFS(Cuotas!$F$2:$F$601,Cuotas!$A$2:$A$601,$A14,Cuotas!$I$2:$I$601,"Pendiente"))</f>
        <v/>
      </c>
      <c r="O14" s="29">
        <f>IF($A14="","",SUMIFS(Cuotas!$G$2:$G$601,Cuotas!$A$2:$A$601,$A14,Cuotas!$I$2:$I$601,"Pagado"))</f>
        <v/>
      </c>
      <c r="P14" s="32">
        <f>IF($A14="","",IF(COUNTIFS(Cuotas!$A$2:$A$601,$A14,Cuotas!$I$2:$I$601,"Pendiente")=0,"—",_xlfn.MINIFS(Cuotas!$E$2:$E$601,Cuotas!$A$2:$A$601,$A14,Cuotas!$I$2:$I$601,"Pendiente")))</f>
        <v/>
      </c>
      <c r="Q14" s="18">
        <f>IF($A14="","",COUNTIFS(Cuotas!$A$2:$A$601,$A14,Cuotas!$I$2:$I$601,"Pagado")&amp;"/"&amp;COUNTIFS(Cuotas!$A$2:$A$601,$A14))</f>
        <v/>
      </c>
      <c r="R14" s="16">
        <f>IF($A14="","",IF(COUNTIFS(Cuotas!$A$2:$A$601,$A14,Cuotas!$I$2:$I$601,"Pendiente")=0,"Terminado",IF(P14&lt;TODAY(),"Atrasado","Al día")))</f>
        <v/>
      </c>
    </row>
    <row r="15">
      <c r="A15" s="14" t="n"/>
      <c r="B15" s="14" t="n"/>
      <c r="C15" s="14" t="n"/>
      <c r="D15" s="31" t="n"/>
      <c r="E15" s="14" t="n"/>
      <c r="F15" s="14" t="n"/>
      <c r="G15" s="14" t="n"/>
      <c r="H15" s="14" t="n"/>
      <c r="I15" s="29">
        <f>IF($A15="","",IF(E15="%",D15*F15/100,IF(E15="Fijo por mes",F15*G15,F15)))</f>
        <v/>
      </c>
      <c r="J15" s="29">
        <f>IF($A15="","",ROUNDUP(D15/G15,0))</f>
        <v/>
      </c>
      <c r="K15" s="29">
        <f>IF($A15="","",ROUNDDOWN(I15/G15,0))</f>
        <v/>
      </c>
      <c r="L15" s="29">
        <f>IF($A15="","",J15+K15)</f>
        <v/>
      </c>
      <c r="M15" s="16">
        <f>IF($A15="","",IF(E15="%",D15&amp;"*"&amp;F15&amp;"%",IF(E15="Fijo por mes",D15&amp;"cap+"&amp;F15&amp;"int/mes",D15&amp;"cap+"&amp;I15&amp;"int"))&amp;IF(G15&gt;1,IF(E15="Fijo por mes"," x ","/")&amp;G15&amp;"mes","")&amp;"  →  "&amp;J15&amp;"cap+"&amp;K15&amp;"int="&amp;L15)</f>
        <v/>
      </c>
      <c r="N15" s="29">
        <f>IF($A15="","",SUMIFS(Cuotas!$F$2:$F$601,Cuotas!$A$2:$A$601,$A15,Cuotas!$I$2:$I$601,"Pendiente"))</f>
        <v/>
      </c>
      <c r="O15" s="29">
        <f>IF($A15="","",SUMIFS(Cuotas!$G$2:$G$601,Cuotas!$A$2:$A$601,$A15,Cuotas!$I$2:$I$601,"Pagado"))</f>
        <v/>
      </c>
      <c r="P15" s="32">
        <f>IF($A15="","",IF(COUNTIFS(Cuotas!$A$2:$A$601,$A15,Cuotas!$I$2:$I$601,"Pendiente")=0,"—",_xlfn.MINIFS(Cuotas!$E$2:$E$601,Cuotas!$A$2:$A$601,$A15,Cuotas!$I$2:$I$601,"Pendiente")))</f>
        <v/>
      </c>
      <c r="Q15" s="18">
        <f>IF($A15="","",COUNTIFS(Cuotas!$A$2:$A$601,$A15,Cuotas!$I$2:$I$601,"Pagado")&amp;"/"&amp;COUNTIFS(Cuotas!$A$2:$A$601,$A15))</f>
        <v/>
      </c>
      <c r="R15" s="16">
        <f>IF($A15="","",IF(COUNTIFS(Cuotas!$A$2:$A$601,$A15,Cuotas!$I$2:$I$601,"Pendiente")=0,"Terminado",IF(P15&lt;TODAY(),"Atrasado","Al día")))</f>
        <v/>
      </c>
    </row>
    <row r="16">
      <c r="A16" s="14" t="n"/>
      <c r="B16" s="14" t="n"/>
      <c r="C16" s="14" t="n"/>
      <c r="D16" s="31" t="n"/>
      <c r="E16" s="14" t="n"/>
      <c r="F16" s="14" t="n"/>
      <c r="G16" s="14" t="n"/>
      <c r="H16" s="14" t="n"/>
      <c r="I16" s="29">
        <f>IF($A16="","",IF(E16="%",D16*F16/100,IF(E16="Fijo por mes",F16*G16,F16)))</f>
        <v/>
      </c>
      <c r="J16" s="29">
        <f>IF($A16="","",ROUNDUP(D16/G16,0))</f>
        <v/>
      </c>
      <c r="K16" s="29">
        <f>IF($A16="","",ROUNDDOWN(I16/G16,0))</f>
        <v/>
      </c>
      <c r="L16" s="29">
        <f>IF($A16="","",J16+K16)</f>
        <v/>
      </c>
      <c r="M16" s="16">
        <f>IF($A16="","",IF(E16="%",D16&amp;"*"&amp;F16&amp;"%",IF(E16="Fijo por mes",D16&amp;"cap+"&amp;F16&amp;"int/mes",D16&amp;"cap+"&amp;I16&amp;"int"))&amp;IF(G16&gt;1,IF(E16="Fijo por mes"," x ","/")&amp;G16&amp;"mes","")&amp;"  →  "&amp;J16&amp;"cap+"&amp;K16&amp;"int="&amp;L16)</f>
        <v/>
      </c>
      <c r="N16" s="29">
        <f>IF($A16="","",SUMIFS(Cuotas!$F$2:$F$601,Cuotas!$A$2:$A$601,$A16,Cuotas!$I$2:$I$601,"Pendiente"))</f>
        <v/>
      </c>
      <c r="O16" s="29">
        <f>IF($A16="","",SUMIFS(Cuotas!$G$2:$G$601,Cuotas!$A$2:$A$601,$A16,Cuotas!$I$2:$I$601,"Pagado"))</f>
        <v/>
      </c>
      <c r="P16" s="32">
        <f>IF($A16="","",IF(COUNTIFS(Cuotas!$A$2:$A$601,$A16,Cuotas!$I$2:$I$601,"Pendiente")=0,"—",_xlfn.MINIFS(Cuotas!$E$2:$E$601,Cuotas!$A$2:$A$601,$A16,Cuotas!$I$2:$I$601,"Pendiente")))</f>
        <v/>
      </c>
      <c r="Q16" s="18">
        <f>IF($A16="","",COUNTIFS(Cuotas!$A$2:$A$601,$A16,Cuotas!$I$2:$I$601,"Pagado")&amp;"/"&amp;COUNTIFS(Cuotas!$A$2:$A$601,$A16))</f>
        <v/>
      </c>
      <c r="R16" s="16">
        <f>IF($A16="","",IF(COUNTIFS(Cuotas!$A$2:$A$601,$A16,Cuotas!$I$2:$I$601,"Pendiente")=0,"Terminado",IF(P16&lt;TODAY(),"Atrasado","Al día")))</f>
        <v/>
      </c>
    </row>
    <row r="17">
      <c r="A17" s="14" t="n"/>
      <c r="B17" s="14" t="n"/>
      <c r="C17" s="14" t="n"/>
      <c r="D17" s="31" t="n"/>
      <c r="E17" s="14" t="n"/>
      <c r="F17" s="14" t="n"/>
      <c r="G17" s="14" t="n"/>
      <c r="H17" s="14" t="n"/>
      <c r="I17" s="29">
        <f>IF($A17="","",IF(E17="%",D17*F17/100,IF(E17="Fijo por mes",F17*G17,F17)))</f>
        <v/>
      </c>
      <c r="J17" s="29">
        <f>IF($A17="","",ROUNDUP(D17/G17,0))</f>
        <v/>
      </c>
      <c r="K17" s="29">
        <f>IF($A17="","",ROUNDDOWN(I17/G17,0))</f>
        <v/>
      </c>
      <c r="L17" s="29">
        <f>IF($A17="","",J17+K17)</f>
        <v/>
      </c>
      <c r="M17" s="16">
        <f>IF($A17="","",IF(E17="%",D17&amp;"*"&amp;F17&amp;"%",IF(E17="Fijo por mes",D17&amp;"cap+"&amp;F17&amp;"int/mes",D17&amp;"cap+"&amp;I17&amp;"int"))&amp;IF(G17&gt;1,IF(E17="Fijo por mes"," x ","/")&amp;G17&amp;"mes","")&amp;"  →  "&amp;J17&amp;"cap+"&amp;K17&amp;"int="&amp;L17)</f>
        <v/>
      </c>
      <c r="N17" s="29">
        <f>IF($A17="","",SUMIFS(Cuotas!$F$2:$F$601,Cuotas!$A$2:$A$601,$A17,Cuotas!$I$2:$I$601,"Pendiente"))</f>
        <v/>
      </c>
      <c r="O17" s="29">
        <f>IF($A17="","",SUMIFS(Cuotas!$G$2:$G$601,Cuotas!$A$2:$A$601,$A17,Cuotas!$I$2:$I$601,"Pagado"))</f>
        <v/>
      </c>
      <c r="P17" s="32">
        <f>IF($A17="","",IF(COUNTIFS(Cuotas!$A$2:$A$601,$A17,Cuotas!$I$2:$I$601,"Pendiente")=0,"—",_xlfn.MINIFS(Cuotas!$E$2:$E$601,Cuotas!$A$2:$A$601,$A17,Cuotas!$I$2:$I$601,"Pendiente")))</f>
        <v/>
      </c>
      <c r="Q17" s="18">
        <f>IF($A17="","",COUNTIFS(Cuotas!$A$2:$A$601,$A17,Cuotas!$I$2:$I$601,"Pagado")&amp;"/"&amp;COUNTIFS(Cuotas!$A$2:$A$601,$A17))</f>
        <v/>
      </c>
      <c r="R17" s="16">
        <f>IF($A17="","",IF(COUNTIFS(Cuotas!$A$2:$A$601,$A17,Cuotas!$I$2:$I$601,"Pendiente")=0,"Terminado",IF(P17&lt;TODAY(),"Atrasado","Al día")))</f>
        <v/>
      </c>
    </row>
    <row r="18">
      <c r="A18" s="14" t="n"/>
      <c r="B18" s="14" t="n"/>
      <c r="C18" s="14" t="n"/>
      <c r="D18" s="31" t="n"/>
      <c r="E18" s="14" t="n"/>
      <c r="F18" s="14" t="n"/>
      <c r="G18" s="14" t="n"/>
      <c r="H18" s="14" t="n"/>
      <c r="I18" s="29">
        <f>IF($A18="","",IF(E18="%",D18*F18/100,IF(E18="Fijo por mes",F18*G18,F18)))</f>
        <v/>
      </c>
      <c r="J18" s="29">
        <f>IF($A18="","",ROUNDUP(D18/G18,0))</f>
        <v/>
      </c>
      <c r="K18" s="29">
        <f>IF($A18="","",ROUNDDOWN(I18/G18,0))</f>
        <v/>
      </c>
      <c r="L18" s="29">
        <f>IF($A18="","",J18+K18)</f>
        <v/>
      </c>
      <c r="M18" s="16">
        <f>IF($A18="","",IF(E18="%",D18&amp;"*"&amp;F18&amp;"%",IF(E18="Fijo por mes",D18&amp;"cap+"&amp;F18&amp;"int/mes",D18&amp;"cap+"&amp;I18&amp;"int"))&amp;IF(G18&gt;1,IF(E18="Fijo por mes"," x ","/")&amp;G18&amp;"mes","")&amp;"  →  "&amp;J18&amp;"cap+"&amp;K18&amp;"int="&amp;L18)</f>
        <v/>
      </c>
      <c r="N18" s="29">
        <f>IF($A18="","",SUMIFS(Cuotas!$F$2:$F$601,Cuotas!$A$2:$A$601,$A18,Cuotas!$I$2:$I$601,"Pendiente"))</f>
        <v/>
      </c>
      <c r="O18" s="29">
        <f>IF($A18="","",SUMIFS(Cuotas!$G$2:$G$601,Cuotas!$A$2:$A$601,$A18,Cuotas!$I$2:$I$601,"Pagado"))</f>
        <v/>
      </c>
      <c r="P18" s="32">
        <f>IF($A18="","",IF(COUNTIFS(Cuotas!$A$2:$A$601,$A18,Cuotas!$I$2:$I$601,"Pendiente")=0,"—",_xlfn.MINIFS(Cuotas!$E$2:$E$601,Cuotas!$A$2:$A$601,$A18,Cuotas!$I$2:$I$601,"Pendiente")))</f>
        <v/>
      </c>
      <c r="Q18" s="18">
        <f>IF($A18="","",COUNTIFS(Cuotas!$A$2:$A$601,$A18,Cuotas!$I$2:$I$601,"Pagado")&amp;"/"&amp;COUNTIFS(Cuotas!$A$2:$A$601,$A18))</f>
        <v/>
      </c>
      <c r="R18" s="16">
        <f>IF($A18="","",IF(COUNTIFS(Cuotas!$A$2:$A$601,$A18,Cuotas!$I$2:$I$601,"Pendiente")=0,"Terminado",IF(P18&lt;TODAY(),"Atrasado","Al día")))</f>
        <v/>
      </c>
    </row>
    <row r="19">
      <c r="A19" s="14" t="n"/>
      <c r="B19" s="14" t="n"/>
      <c r="C19" s="14" t="n"/>
      <c r="D19" s="31" t="n"/>
      <c r="E19" s="14" t="n"/>
      <c r="F19" s="14" t="n"/>
      <c r="G19" s="14" t="n"/>
      <c r="H19" s="14" t="n"/>
      <c r="I19" s="29">
        <f>IF($A19="","",IF(E19="%",D19*F19/100,IF(E19="Fijo por mes",F19*G19,F19)))</f>
        <v/>
      </c>
      <c r="J19" s="29">
        <f>IF($A19="","",ROUNDUP(D19/G19,0))</f>
        <v/>
      </c>
      <c r="K19" s="29">
        <f>IF($A19="","",ROUNDDOWN(I19/G19,0))</f>
        <v/>
      </c>
      <c r="L19" s="29">
        <f>IF($A19="","",J19+K19)</f>
        <v/>
      </c>
      <c r="M19" s="16">
        <f>IF($A19="","",IF(E19="%",D19&amp;"*"&amp;F19&amp;"%",IF(E19="Fijo por mes",D19&amp;"cap+"&amp;F19&amp;"int/mes",D19&amp;"cap+"&amp;I19&amp;"int"))&amp;IF(G19&gt;1,IF(E19="Fijo por mes"," x ","/")&amp;G19&amp;"mes","")&amp;"  →  "&amp;J19&amp;"cap+"&amp;K19&amp;"int="&amp;L19)</f>
        <v/>
      </c>
      <c r="N19" s="29">
        <f>IF($A19="","",SUMIFS(Cuotas!$F$2:$F$601,Cuotas!$A$2:$A$601,$A19,Cuotas!$I$2:$I$601,"Pendiente"))</f>
        <v/>
      </c>
      <c r="O19" s="29">
        <f>IF($A19="","",SUMIFS(Cuotas!$G$2:$G$601,Cuotas!$A$2:$A$601,$A19,Cuotas!$I$2:$I$601,"Pagado"))</f>
        <v/>
      </c>
      <c r="P19" s="32">
        <f>IF($A19="","",IF(COUNTIFS(Cuotas!$A$2:$A$601,$A19,Cuotas!$I$2:$I$601,"Pendiente")=0,"—",_xlfn.MINIFS(Cuotas!$E$2:$E$601,Cuotas!$A$2:$A$601,$A19,Cuotas!$I$2:$I$601,"Pendiente")))</f>
        <v/>
      </c>
      <c r="Q19" s="18">
        <f>IF($A19="","",COUNTIFS(Cuotas!$A$2:$A$601,$A19,Cuotas!$I$2:$I$601,"Pagado")&amp;"/"&amp;COUNTIFS(Cuotas!$A$2:$A$601,$A19))</f>
        <v/>
      </c>
      <c r="R19" s="16">
        <f>IF($A19="","",IF(COUNTIFS(Cuotas!$A$2:$A$601,$A19,Cuotas!$I$2:$I$601,"Pendiente")=0,"Terminado",IF(P19&lt;TODAY(),"Atrasado","Al día")))</f>
        <v/>
      </c>
    </row>
    <row r="20">
      <c r="A20" s="14" t="n"/>
      <c r="B20" s="14" t="n"/>
      <c r="C20" s="14" t="n"/>
      <c r="D20" s="31" t="n"/>
      <c r="E20" s="14" t="n"/>
      <c r="F20" s="14" t="n"/>
      <c r="G20" s="14" t="n"/>
      <c r="H20" s="14" t="n"/>
      <c r="I20" s="29">
        <f>IF($A20="","",IF(E20="%",D20*F20/100,IF(E20="Fijo por mes",F20*G20,F20)))</f>
        <v/>
      </c>
      <c r="J20" s="29">
        <f>IF($A20="","",ROUNDUP(D20/G20,0))</f>
        <v/>
      </c>
      <c r="K20" s="29">
        <f>IF($A20="","",ROUNDDOWN(I20/G20,0))</f>
        <v/>
      </c>
      <c r="L20" s="29">
        <f>IF($A20="","",J20+K20)</f>
        <v/>
      </c>
      <c r="M20" s="16">
        <f>IF($A20="","",IF(E20="%",D20&amp;"*"&amp;F20&amp;"%",IF(E20="Fijo por mes",D20&amp;"cap+"&amp;F20&amp;"int/mes",D20&amp;"cap+"&amp;I20&amp;"int"))&amp;IF(G20&gt;1,IF(E20="Fijo por mes"," x ","/")&amp;G20&amp;"mes","")&amp;"  →  "&amp;J20&amp;"cap+"&amp;K20&amp;"int="&amp;L20)</f>
        <v/>
      </c>
      <c r="N20" s="29">
        <f>IF($A20="","",SUMIFS(Cuotas!$F$2:$F$601,Cuotas!$A$2:$A$601,$A20,Cuotas!$I$2:$I$601,"Pendiente"))</f>
        <v/>
      </c>
      <c r="O20" s="29">
        <f>IF($A20="","",SUMIFS(Cuotas!$G$2:$G$601,Cuotas!$A$2:$A$601,$A20,Cuotas!$I$2:$I$601,"Pagado"))</f>
        <v/>
      </c>
      <c r="P20" s="32">
        <f>IF($A20="","",IF(COUNTIFS(Cuotas!$A$2:$A$601,$A20,Cuotas!$I$2:$I$601,"Pendiente")=0,"—",_xlfn.MINIFS(Cuotas!$E$2:$E$601,Cuotas!$A$2:$A$601,$A20,Cuotas!$I$2:$I$601,"Pendiente")))</f>
        <v/>
      </c>
      <c r="Q20" s="18">
        <f>IF($A20="","",COUNTIFS(Cuotas!$A$2:$A$601,$A20,Cuotas!$I$2:$I$601,"Pagado")&amp;"/"&amp;COUNTIFS(Cuotas!$A$2:$A$601,$A20))</f>
        <v/>
      </c>
      <c r="R20" s="16">
        <f>IF($A20="","",IF(COUNTIFS(Cuotas!$A$2:$A$601,$A20,Cuotas!$I$2:$I$601,"Pendiente")=0,"Terminado",IF(P20&lt;TODAY(),"Atrasado","Al día")))</f>
        <v/>
      </c>
    </row>
    <row r="21">
      <c r="A21" s="14" t="n"/>
      <c r="B21" s="14" t="n"/>
      <c r="C21" s="14" t="n"/>
      <c r="D21" s="31" t="n"/>
      <c r="E21" s="14" t="n"/>
      <c r="F21" s="14" t="n"/>
      <c r="G21" s="14" t="n"/>
      <c r="H21" s="14" t="n"/>
      <c r="I21" s="29">
        <f>IF($A21="","",IF(E21="%",D21*F21/100,IF(E21="Fijo por mes",F21*G21,F21)))</f>
        <v/>
      </c>
      <c r="J21" s="29">
        <f>IF($A21="","",ROUNDUP(D21/G21,0))</f>
        <v/>
      </c>
      <c r="K21" s="29">
        <f>IF($A21="","",ROUNDDOWN(I21/G21,0))</f>
        <v/>
      </c>
      <c r="L21" s="29">
        <f>IF($A21="","",J21+K21)</f>
        <v/>
      </c>
      <c r="M21" s="16">
        <f>IF($A21="","",IF(E21="%",D21&amp;"*"&amp;F21&amp;"%",IF(E21="Fijo por mes",D21&amp;"cap+"&amp;F21&amp;"int/mes",D21&amp;"cap+"&amp;I21&amp;"int"))&amp;IF(G21&gt;1,IF(E21="Fijo por mes"," x ","/")&amp;G21&amp;"mes","")&amp;"  →  "&amp;J21&amp;"cap+"&amp;K21&amp;"int="&amp;L21)</f>
        <v/>
      </c>
      <c r="N21" s="29">
        <f>IF($A21="","",SUMIFS(Cuotas!$F$2:$F$601,Cuotas!$A$2:$A$601,$A21,Cuotas!$I$2:$I$601,"Pendiente"))</f>
        <v/>
      </c>
      <c r="O21" s="29">
        <f>IF($A21="","",SUMIFS(Cuotas!$G$2:$G$601,Cuotas!$A$2:$A$601,$A21,Cuotas!$I$2:$I$601,"Pagado"))</f>
        <v/>
      </c>
      <c r="P21" s="32">
        <f>IF($A21="","",IF(COUNTIFS(Cuotas!$A$2:$A$601,$A21,Cuotas!$I$2:$I$601,"Pendiente")=0,"—",_xlfn.MINIFS(Cuotas!$E$2:$E$601,Cuotas!$A$2:$A$601,$A21,Cuotas!$I$2:$I$601,"Pendiente")))</f>
        <v/>
      </c>
      <c r="Q21" s="18">
        <f>IF($A21="","",COUNTIFS(Cuotas!$A$2:$A$601,$A21,Cuotas!$I$2:$I$601,"Pagado")&amp;"/"&amp;COUNTIFS(Cuotas!$A$2:$A$601,$A21))</f>
        <v/>
      </c>
      <c r="R21" s="16">
        <f>IF($A21="","",IF(COUNTIFS(Cuotas!$A$2:$A$601,$A21,Cuotas!$I$2:$I$601,"Pendiente")=0,"Terminado",IF(P21&lt;TODAY(),"Atrasado","Al día")))</f>
        <v/>
      </c>
    </row>
    <row r="22">
      <c r="A22" s="14" t="n"/>
      <c r="B22" s="14" t="n"/>
      <c r="C22" s="14" t="n"/>
      <c r="D22" s="31" t="n"/>
      <c r="E22" s="14" t="n"/>
      <c r="F22" s="14" t="n"/>
      <c r="G22" s="14" t="n"/>
      <c r="H22" s="14" t="n"/>
      <c r="I22" s="29">
        <f>IF($A22="","",IF(E22="%",D22*F22/100,IF(E22="Fijo por mes",F22*G22,F22)))</f>
        <v/>
      </c>
      <c r="J22" s="29">
        <f>IF($A22="","",ROUNDUP(D22/G22,0))</f>
        <v/>
      </c>
      <c r="K22" s="29">
        <f>IF($A22="","",ROUNDDOWN(I22/G22,0))</f>
        <v/>
      </c>
      <c r="L22" s="29">
        <f>IF($A22="","",J22+K22)</f>
        <v/>
      </c>
      <c r="M22" s="16">
        <f>IF($A22="","",IF(E22="%",D22&amp;"*"&amp;F22&amp;"%",IF(E22="Fijo por mes",D22&amp;"cap+"&amp;F22&amp;"int/mes",D22&amp;"cap+"&amp;I22&amp;"int"))&amp;IF(G22&gt;1,IF(E22="Fijo por mes"," x ","/")&amp;G22&amp;"mes","")&amp;"  →  "&amp;J22&amp;"cap+"&amp;K22&amp;"int="&amp;L22)</f>
        <v/>
      </c>
      <c r="N22" s="29">
        <f>IF($A22="","",SUMIFS(Cuotas!$F$2:$F$601,Cuotas!$A$2:$A$601,$A22,Cuotas!$I$2:$I$601,"Pendiente"))</f>
        <v/>
      </c>
      <c r="O22" s="29">
        <f>IF($A22="","",SUMIFS(Cuotas!$G$2:$G$601,Cuotas!$A$2:$A$601,$A22,Cuotas!$I$2:$I$601,"Pagado"))</f>
        <v/>
      </c>
      <c r="P22" s="32">
        <f>IF($A22="","",IF(COUNTIFS(Cuotas!$A$2:$A$601,$A22,Cuotas!$I$2:$I$601,"Pendiente")=0,"—",_xlfn.MINIFS(Cuotas!$E$2:$E$601,Cuotas!$A$2:$A$601,$A22,Cuotas!$I$2:$I$601,"Pendiente")))</f>
        <v/>
      </c>
      <c r="Q22" s="18">
        <f>IF($A22="","",COUNTIFS(Cuotas!$A$2:$A$601,$A22,Cuotas!$I$2:$I$601,"Pagado")&amp;"/"&amp;COUNTIFS(Cuotas!$A$2:$A$601,$A22))</f>
        <v/>
      </c>
      <c r="R22" s="16">
        <f>IF($A22="","",IF(COUNTIFS(Cuotas!$A$2:$A$601,$A22,Cuotas!$I$2:$I$601,"Pendiente")=0,"Terminado",IF(P22&lt;TODAY(),"Atrasado","Al día")))</f>
        <v/>
      </c>
    </row>
    <row r="23">
      <c r="A23" s="14" t="n"/>
      <c r="B23" s="14" t="n"/>
      <c r="C23" s="14" t="n"/>
      <c r="D23" s="31" t="n"/>
      <c r="E23" s="14" t="n"/>
      <c r="F23" s="14" t="n"/>
      <c r="G23" s="14" t="n"/>
      <c r="H23" s="14" t="n"/>
      <c r="I23" s="29">
        <f>IF($A23="","",IF(E23="%",D23*F23/100,IF(E23="Fijo por mes",F23*G23,F23)))</f>
        <v/>
      </c>
      <c r="J23" s="29">
        <f>IF($A23="","",ROUNDUP(D23/G23,0))</f>
        <v/>
      </c>
      <c r="K23" s="29">
        <f>IF($A23="","",ROUNDDOWN(I23/G23,0))</f>
        <v/>
      </c>
      <c r="L23" s="29">
        <f>IF($A23="","",J23+K23)</f>
        <v/>
      </c>
      <c r="M23" s="16">
        <f>IF($A23="","",IF(E23="%",D23&amp;"*"&amp;F23&amp;"%",IF(E23="Fijo por mes",D23&amp;"cap+"&amp;F23&amp;"int/mes",D23&amp;"cap+"&amp;I23&amp;"int"))&amp;IF(G23&gt;1,IF(E23="Fijo por mes"," x ","/")&amp;G23&amp;"mes","")&amp;"  →  "&amp;J23&amp;"cap+"&amp;K23&amp;"int="&amp;L23)</f>
        <v/>
      </c>
      <c r="N23" s="29">
        <f>IF($A23="","",SUMIFS(Cuotas!$F$2:$F$601,Cuotas!$A$2:$A$601,$A23,Cuotas!$I$2:$I$601,"Pendiente"))</f>
        <v/>
      </c>
      <c r="O23" s="29">
        <f>IF($A23="","",SUMIFS(Cuotas!$G$2:$G$601,Cuotas!$A$2:$A$601,$A23,Cuotas!$I$2:$I$601,"Pagado"))</f>
        <v/>
      </c>
      <c r="P23" s="32">
        <f>IF($A23="","",IF(COUNTIFS(Cuotas!$A$2:$A$601,$A23,Cuotas!$I$2:$I$601,"Pendiente")=0,"—",_xlfn.MINIFS(Cuotas!$E$2:$E$601,Cuotas!$A$2:$A$601,$A23,Cuotas!$I$2:$I$601,"Pendiente")))</f>
        <v/>
      </c>
      <c r="Q23" s="18">
        <f>IF($A23="","",COUNTIFS(Cuotas!$A$2:$A$601,$A23,Cuotas!$I$2:$I$601,"Pagado")&amp;"/"&amp;COUNTIFS(Cuotas!$A$2:$A$601,$A23))</f>
        <v/>
      </c>
      <c r="R23" s="16">
        <f>IF($A23="","",IF(COUNTIFS(Cuotas!$A$2:$A$601,$A23,Cuotas!$I$2:$I$601,"Pendiente")=0,"Terminado",IF(P23&lt;TODAY(),"Atrasado","Al día")))</f>
        <v/>
      </c>
    </row>
    <row r="24">
      <c r="A24" s="14" t="n"/>
      <c r="B24" s="14" t="n"/>
      <c r="C24" s="14" t="n"/>
      <c r="D24" s="31" t="n"/>
      <c r="E24" s="14" t="n"/>
      <c r="F24" s="14" t="n"/>
      <c r="G24" s="14" t="n"/>
      <c r="H24" s="14" t="n"/>
      <c r="I24" s="29">
        <f>IF($A24="","",IF(E24="%",D24*F24/100,IF(E24="Fijo por mes",F24*G24,F24)))</f>
        <v/>
      </c>
      <c r="J24" s="29">
        <f>IF($A24="","",ROUNDUP(D24/G24,0))</f>
        <v/>
      </c>
      <c r="K24" s="29">
        <f>IF($A24="","",ROUNDDOWN(I24/G24,0))</f>
        <v/>
      </c>
      <c r="L24" s="29">
        <f>IF($A24="","",J24+K24)</f>
        <v/>
      </c>
      <c r="M24" s="16">
        <f>IF($A24="","",IF(E24="%",D24&amp;"*"&amp;F24&amp;"%",IF(E24="Fijo por mes",D24&amp;"cap+"&amp;F24&amp;"int/mes",D24&amp;"cap+"&amp;I24&amp;"int"))&amp;IF(G24&gt;1,IF(E24="Fijo por mes"," x ","/")&amp;G24&amp;"mes","")&amp;"  →  "&amp;J24&amp;"cap+"&amp;K24&amp;"int="&amp;L24)</f>
        <v/>
      </c>
      <c r="N24" s="29">
        <f>IF($A24="","",SUMIFS(Cuotas!$F$2:$F$601,Cuotas!$A$2:$A$601,$A24,Cuotas!$I$2:$I$601,"Pendiente"))</f>
        <v/>
      </c>
      <c r="O24" s="29">
        <f>IF($A24="","",SUMIFS(Cuotas!$G$2:$G$601,Cuotas!$A$2:$A$601,$A24,Cuotas!$I$2:$I$601,"Pagado"))</f>
        <v/>
      </c>
      <c r="P24" s="32">
        <f>IF($A24="","",IF(COUNTIFS(Cuotas!$A$2:$A$601,$A24,Cuotas!$I$2:$I$601,"Pendiente")=0,"—",_xlfn.MINIFS(Cuotas!$E$2:$E$601,Cuotas!$A$2:$A$601,$A24,Cuotas!$I$2:$I$601,"Pendiente")))</f>
        <v/>
      </c>
      <c r="Q24" s="18">
        <f>IF($A24="","",COUNTIFS(Cuotas!$A$2:$A$601,$A24,Cuotas!$I$2:$I$601,"Pagado")&amp;"/"&amp;COUNTIFS(Cuotas!$A$2:$A$601,$A24))</f>
        <v/>
      </c>
      <c r="R24" s="16">
        <f>IF($A24="","",IF(COUNTIFS(Cuotas!$A$2:$A$601,$A24,Cuotas!$I$2:$I$601,"Pendiente")=0,"Terminado",IF(P24&lt;TODAY(),"Atrasado","Al día")))</f>
        <v/>
      </c>
    </row>
    <row r="25">
      <c r="A25" s="14" t="n"/>
      <c r="B25" s="14" t="n"/>
      <c r="C25" s="14" t="n"/>
      <c r="D25" s="31" t="n"/>
      <c r="E25" s="14" t="n"/>
      <c r="F25" s="14" t="n"/>
      <c r="G25" s="14" t="n"/>
      <c r="H25" s="14" t="n"/>
      <c r="I25" s="29">
        <f>IF($A25="","",IF(E25="%",D25*F25/100,IF(E25="Fijo por mes",F25*G25,F25)))</f>
        <v/>
      </c>
      <c r="J25" s="29">
        <f>IF($A25="","",ROUNDUP(D25/G25,0))</f>
        <v/>
      </c>
      <c r="K25" s="29">
        <f>IF($A25="","",ROUNDDOWN(I25/G25,0))</f>
        <v/>
      </c>
      <c r="L25" s="29">
        <f>IF($A25="","",J25+K25)</f>
        <v/>
      </c>
      <c r="M25" s="16">
        <f>IF($A25="","",IF(E25="%",D25&amp;"*"&amp;F25&amp;"%",IF(E25="Fijo por mes",D25&amp;"cap+"&amp;F25&amp;"int/mes",D25&amp;"cap+"&amp;I25&amp;"int"))&amp;IF(G25&gt;1,IF(E25="Fijo por mes"," x ","/")&amp;G25&amp;"mes","")&amp;"  →  "&amp;J25&amp;"cap+"&amp;K25&amp;"int="&amp;L25)</f>
        <v/>
      </c>
      <c r="N25" s="29">
        <f>IF($A25="","",SUMIFS(Cuotas!$F$2:$F$601,Cuotas!$A$2:$A$601,$A25,Cuotas!$I$2:$I$601,"Pendiente"))</f>
        <v/>
      </c>
      <c r="O25" s="29">
        <f>IF($A25="","",SUMIFS(Cuotas!$G$2:$G$601,Cuotas!$A$2:$A$601,$A25,Cuotas!$I$2:$I$601,"Pagado"))</f>
        <v/>
      </c>
      <c r="P25" s="32">
        <f>IF($A25="","",IF(COUNTIFS(Cuotas!$A$2:$A$601,$A25,Cuotas!$I$2:$I$601,"Pendiente")=0,"—",_xlfn.MINIFS(Cuotas!$E$2:$E$601,Cuotas!$A$2:$A$601,$A25,Cuotas!$I$2:$I$601,"Pendiente")))</f>
        <v/>
      </c>
      <c r="Q25" s="18">
        <f>IF($A25="","",COUNTIFS(Cuotas!$A$2:$A$601,$A25,Cuotas!$I$2:$I$601,"Pagado")&amp;"/"&amp;COUNTIFS(Cuotas!$A$2:$A$601,$A25))</f>
        <v/>
      </c>
      <c r="R25" s="16">
        <f>IF($A25="","",IF(COUNTIFS(Cuotas!$A$2:$A$601,$A25,Cuotas!$I$2:$I$601,"Pendiente")=0,"Terminado",IF(P25&lt;TODAY(),"Atrasado","Al día")))</f>
        <v/>
      </c>
    </row>
    <row r="26">
      <c r="A26" s="14" t="n"/>
      <c r="B26" s="14" t="n"/>
      <c r="C26" s="14" t="n"/>
      <c r="D26" s="31" t="n"/>
      <c r="E26" s="14" t="n"/>
      <c r="F26" s="14" t="n"/>
      <c r="G26" s="14" t="n"/>
      <c r="H26" s="14" t="n"/>
      <c r="I26" s="29">
        <f>IF($A26="","",IF(E26="%",D26*F26/100,IF(E26="Fijo por mes",F26*G26,F26)))</f>
        <v/>
      </c>
      <c r="J26" s="29">
        <f>IF($A26="","",ROUNDUP(D26/G26,0))</f>
        <v/>
      </c>
      <c r="K26" s="29">
        <f>IF($A26="","",ROUNDDOWN(I26/G26,0))</f>
        <v/>
      </c>
      <c r="L26" s="29">
        <f>IF($A26="","",J26+K26)</f>
        <v/>
      </c>
      <c r="M26" s="16">
        <f>IF($A26="","",IF(E26="%",D26&amp;"*"&amp;F26&amp;"%",IF(E26="Fijo por mes",D26&amp;"cap+"&amp;F26&amp;"int/mes",D26&amp;"cap+"&amp;I26&amp;"int"))&amp;IF(G26&gt;1,IF(E26="Fijo por mes"," x ","/")&amp;G26&amp;"mes","")&amp;"  →  "&amp;J26&amp;"cap+"&amp;K26&amp;"int="&amp;L26)</f>
        <v/>
      </c>
      <c r="N26" s="29">
        <f>IF($A26="","",SUMIFS(Cuotas!$F$2:$F$601,Cuotas!$A$2:$A$601,$A26,Cuotas!$I$2:$I$601,"Pendiente"))</f>
        <v/>
      </c>
      <c r="O26" s="29">
        <f>IF($A26="","",SUMIFS(Cuotas!$G$2:$G$601,Cuotas!$A$2:$A$601,$A26,Cuotas!$I$2:$I$601,"Pagado"))</f>
        <v/>
      </c>
      <c r="P26" s="32">
        <f>IF($A26="","",IF(COUNTIFS(Cuotas!$A$2:$A$601,$A26,Cuotas!$I$2:$I$601,"Pendiente")=0,"—",_xlfn.MINIFS(Cuotas!$E$2:$E$601,Cuotas!$A$2:$A$601,$A26,Cuotas!$I$2:$I$601,"Pendiente")))</f>
        <v/>
      </c>
      <c r="Q26" s="18">
        <f>IF($A26="","",COUNTIFS(Cuotas!$A$2:$A$601,$A26,Cuotas!$I$2:$I$601,"Pagado")&amp;"/"&amp;COUNTIFS(Cuotas!$A$2:$A$601,$A26))</f>
        <v/>
      </c>
      <c r="R26" s="16">
        <f>IF($A26="","",IF(COUNTIFS(Cuotas!$A$2:$A$601,$A26,Cuotas!$I$2:$I$601,"Pendiente")=0,"Terminado",IF(P26&lt;TODAY(),"Atrasado","Al día")))</f>
        <v/>
      </c>
    </row>
    <row r="27">
      <c r="A27" s="14" t="n"/>
      <c r="B27" s="14" t="n"/>
      <c r="C27" s="14" t="n"/>
      <c r="D27" s="31" t="n"/>
      <c r="E27" s="14" t="n"/>
      <c r="F27" s="14" t="n"/>
      <c r="G27" s="14" t="n"/>
      <c r="H27" s="14" t="n"/>
      <c r="I27" s="29">
        <f>IF($A27="","",IF(E27="%",D27*F27/100,IF(E27="Fijo por mes",F27*G27,F27)))</f>
        <v/>
      </c>
      <c r="J27" s="29">
        <f>IF($A27="","",ROUNDUP(D27/G27,0))</f>
        <v/>
      </c>
      <c r="K27" s="29">
        <f>IF($A27="","",ROUNDDOWN(I27/G27,0))</f>
        <v/>
      </c>
      <c r="L27" s="29">
        <f>IF($A27="","",J27+K27)</f>
        <v/>
      </c>
      <c r="M27" s="16">
        <f>IF($A27="","",IF(E27="%",D27&amp;"*"&amp;F27&amp;"%",IF(E27="Fijo por mes",D27&amp;"cap+"&amp;F27&amp;"int/mes",D27&amp;"cap+"&amp;I27&amp;"int"))&amp;IF(G27&gt;1,IF(E27="Fijo por mes"," x ","/")&amp;G27&amp;"mes","")&amp;"  →  "&amp;J27&amp;"cap+"&amp;K27&amp;"int="&amp;L27)</f>
        <v/>
      </c>
      <c r="N27" s="29">
        <f>IF($A27="","",SUMIFS(Cuotas!$F$2:$F$601,Cuotas!$A$2:$A$601,$A27,Cuotas!$I$2:$I$601,"Pendiente"))</f>
        <v/>
      </c>
      <c r="O27" s="29">
        <f>IF($A27="","",SUMIFS(Cuotas!$G$2:$G$601,Cuotas!$A$2:$A$601,$A27,Cuotas!$I$2:$I$601,"Pagado"))</f>
        <v/>
      </c>
      <c r="P27" s="32">
        <f>IF($A27="","",IF(COUNTIFS(Cuotas!$A$2:$A$601,$A27,Cuotas!$I$2:$I$601,"Pendiente")=0,"—",_xlfn.MINIFS(Cuotas!$E$2:$E$601,Cuotas!$A$2:$A$601,$A27,Cuotas!$I$2:$I$601,"Pendiente")))</f>
        <v/>
      </c>
      <c r="Q27" s="18">
        <f>IF($A27="","",COUNTIFS(Cuotas!$A$2:$A$601,$A27,Cuotas!$I$2:$I$601,"Pagado")&amp;"/"&amp;COUNTIFS(Cuotas!$A$2:$A$601,$A27))</f>
        <v/>
      </c>
      <c r="R27" s="16">
        <f>IF($A27="","",IF(COUNTIFS(Cuotas!$A$2:$A$601,$A27,Cuotas!$I$2:$I$601,"Pendiente")=0,"Terminado",IF(P27&lt;TODAY(),"Atrasado","Al día")))</f>
        <v/>
      </c>
    </row>
    <row r="28">
      <c r="A28" s="14" t="n"/>
      <c r="B28" s="14" t="n"/>
      <c r="C28" s="14" t="n"/>
      <c r="D28" s="31" t="n"/>
      <c r="E28" s="14" t="n"/>
      <c r="F28" s="14" t="n"/>
      <c r="G28" s="14" t="n"/>
      <c r="H28" s="14" t="n"/>
      <c r="I28" s="29">
        <f>IF($A28="","",IF(E28="%",D28*F28/100,IF(E28="Fijo por mes",F28*G28,F28)))</f>
        <v/>
      </c>
      <c r="J28" s="29">
        <f>IF($A28="","",ROUNDUP(D28/G28,0))</f>
        <v/>
      </c>
      <c r="K28" s="29">
        <f>IF($A28="","",ROUNDDOWN(I28/G28,0))</f>
        <v/>
      </c>
      <c r="L28" s="29">
        <f>IF($A28="","",J28+K28)</f>
        <v/>
      </c>
      <c r="M28" s="16">
        <f>IF($A28="","",IF(E28="%",D28&amp;"*"&amp;F28&amp;"%",IF(E28="Fijo por mes",D28&amp;"cap+"&amp;F28&amp;"int/mes",D28&amp;"cap+"&amp;I28&amp;"int"))&amp;IF(G28&gt;1,IF(E28="Fijo por mes"," x ","/")&amp;G28&amp;"mes","")&amp;"  →  "&amp;J28&amp;"cap+"&amp;K28&amp;"int="&amp;L28)</f>
        <v/>
      </c>
      <c r="N28" s="29">
        <f>IF($A28="","",SUMIFS(Cuotas!$F$2:$F$601,Cuotas!$A$2:$A$601,$A28,Cuotas!$I$2:$I$601,"Pendiente"))</f>
        <v/>
      </c>
      <c r="O28" s="29">
        <f>IF($A28="","",SUMIFS(Cuotas!$G$2:$G$601,Cuotas!$A$2:$A$601,$A28,Cuotas!$I$2:$I$601,"Pagado"))</f>
        <v/>
      </c>
      <c r="P28" s="32">
        <f>IF($A28="","",IF(COUNTIFS(Cuotas!$A$2:$A$601,$A28,Cuotas!$I$2:$I$601,"Pendiente")=0,"—",_xlfn.MINIFS(Cuotas!$E$2:$E$601,Cuotas!$A$2:$A$601,$A28,Cuotas!$I$2:$I$601,"Pendiente")))</f>
        <v/>
      </c>
      <c r="Q28" s="18">
        <f>IF($A28="","",COUNTIFS(Cuotas!$A$2:$A$601,$A28,Cuotas!$I$2:$I$601,"Pagado")&amp;"/"&amp;COUNTIFS(Cuotas!$A$2:$A$601,$A28))</f>
        <v/>
      </c>
      <c r="R28" s="16">
        <f>IF($A28="","",IF(COUNTIFS(Cuotas!$A$2:$A$601,$A28,Cuotas!$I$2:$I$601,"Pendiente")=0,"Terminado",IF(P28&lt;TODAY(),"Atrasado","Al día")))</f>
        <v/>
      </c>
    </row>
    <row r="29">
      <c r="A29" s="14" t="n"/>
      <c r="B29" s="14" t="n"/>
      <c r="C29" s="14" t="n"/>
      <c r="D29" s="31" t="n"/>
      <c r="E29" s="14" t="n"/>
      <c r="F29" s="14" t="n"/>
      <c r="G29" s="14" t="n"/>
      <c r="H29" s="14" t="n"/>
      <c r="I29" s="29">
        <f>IF($A29="","",IF(E29="%",D29*F29/100,IF(E29="Fijo por mes",F29*G29,F29)))</f>
        <v/>
      </c>
      <c r="J29" s="29">
        <f>IF($A29="","",ROUNDUP(D29/G29,0))</f>
        <v/>
      </c>
      <c r="K29" s="29">
        <f>IF($A29="","",ROUNDDOWN(I29/G29,0))</f>
        <v/>
      </c>
      <c r="L29" s="29">
        <f>IF($A29="","",J29+K29)</f>
        <v/>
      </c>
      <c r="M29" s="16">
        <f>IF($A29="","",IF(E29="%",D29&amp;"*"&amp;F29&amp;"%",IF(E29="Fijo por mes",D29&amp;"cap+"&amp;F29&amp;"int/mes",D29&amp;"cap+"&amp;I29&amp;"int"))&amp;IF(G29&gt;1,IF(E29="Fijo por mes"," x ","/")&amp;G29&amp;"mes","")&amp;"  →  "&amp;J29&amp;"cap+"&amp;K29&amp;"int="&amp;L29)</f>
        <v/>
      </c>
      <c r="N29" s="29">
        <f>IF($A29="","",SUMIFS(Cuotas!$F$2:$F$601,Cuotas!$A$2:$A$601,$A29,Cuotas!$I$2:$I$601,"Pendiente"))</f>
        <v/>
      </c>
      <c r="O29" s="29">
        <f>IF($A29="","",SUMIFS(Cuotas!$G$2:$G$601,Cuotas!$A$2:$A$601,$A29,Cuotas!$I$2:$I$601,"Pagado"))</f>
        <v/>
      </c>
      <c r="P29" s="32">
        <f>IF($A29="","",IF(COUNTIFS(Cuotas!$A$2:$A$601,$A29,Cuotas!$I$2:$I$601,"Pendiente")=0,"—",_xlfn.MINIFS(Cuotas!$E$2:$E$601,Cuotas!$A$2:$A$601,$A29,Cuotas!$I$2:$I$601,"Pendiente")))</f>
        <v/>
      </c>
      <c r="Q29" s="18">
        <f>IF($A29="","",COUNTIFS(Cuotas!$A$2:$A$601,$A29,Cuotas!$I$2:$I$601,"Pagado")&amp;"/"&amp;COUNTIFS(Cuotas!$A$2:$A$601,$A29))</f>
        <v/>
      </c>
      <c r="R29" s="16">
        <f>IF($A29="","",IF(COUNTIFS(Cuotas!$A$2:$A$601,$A29,Cuotas!$I$2:$I$601,"Pendiente")=0,"Terminado",IF(P29&lt;TODAY(),"Atrasado","Al día")))</f>
        <v/>
      </c>
    </row>
    <row r="30">
      <c r="A30" s="14" t="n"/>
      <c r="B30" s="14" t="n"/>
      <c r="C30" s="14" t="n"/>
      <c r="D30" s="31" t="n"/>
      <c r="E30" s="14" t="n"/>
      <c r="F30" s="14" t="n"/>
      <c r="G30" s="14" t="n"/>
      <c r="H30" s="14" t="n"/>
      <c r="I30" s="29">
        <f>IF($A30="","",IF(E30="%",D30*F30/100,IF(E30="Fijo por mes",F30*G30,F30)))</f>
        <v/>
      </c>
      <c r="J30" s="29">
        <f>IF($A30="","",ROUNDUP(D30/G30,0))</f>
        <v/>
      </c>
      <c r="K30" s="29">
        <f>IF($A30="","",ROUNDDOWN(I30/G30,0))</f>
        <v/>
      </c>
      <c r="L30" s="29">
        <f>IF($A30="","",J30+K30)</f>
        <v/>
      </c>
      <c r="M30" s="16">
        <f>IF($A30="","",IF(E30="%",D30&amp;"*"&amp;F30&amp;"%",IF(E30="Fijo por mes",D30&amp;"cap+"&amp;F30&amp;"int/mes",D30&amp;"cap+"&amp;I30&amp;"int"))&amp;IF(G30&gt;1,IF(E30="Fijo por mes"," x ","/")&amp;G30&amp;"mes","")&amp;"  →  "&amp;J30&amp;"cap+"&amp;K30&amp;"int="&amp;L30)</f>
        <v/>
      </c>
      <c r="N30" s="29">
        <f>IF($A30="","",SUMIFS(Cuotas!$F$2:$F$601,Cuotas!$A$2:$A$601,$A30,Cuotas!$I$2:$I$601,"Pendiente"))</f>
        <v/>
      </c>
      <c r="O30" s="29">
        <f>IF($A30="","",SUMIFS(Cuotas!$G$2:$G$601,Cuotas!$A$2:$A$601,$A30,Cuotas!$I$2:$I$601,"Pagado"))</f>
        <v/>
      </c>
      <c r="P30" s="32">
        <f>IF($A30="","",IF(COUNTIFS(Cuotas!$A$2:$A$601,$A30,Cuotas!$I$2:$I$601,"Pendiente")=0,"—",_xlfn.MINIFS(Cuotas!$E$2:$E$601,Cuotas!$A$2:$A$601,$A30,Cuotas!$I$2:$I$601,"Pendiente")))</f>
        <v/>
      </c>
      <c r="Q30" s="18">
        <f>IF($A30="","",COUNTIFS(Cuotas!$A$2:$A$601,$A30,Cuotas!$I$2:$I$601,"Pagado")&amp;"/"&amp;COUNTIFS(Cuotas!$A$2:$A$601,$A30))</f>
        <v/>
      </c>
      <c r="R30" s="16">
        <f>IF($A30="","",IF(COUNTIFS(Cuotas!$A$2:$A$601,$A30,Cuotas!$I$2:$I$601,"Pendiente")=0,"Terminado",IF(P30&lt;TODAY(),"Atrasado","Al día")))</f>
        <v/>
      </c>
    </row>
    <row r="31">
      <c r="A31" s="14" t="n"/>
      <c r="B31" s="14" t="n"/>
      <c r="C31" s="14" t="n"/>
      <c r="D31" s="31" t="n"/>
      <c r="E31" s="14" t="n"/>
      <c r="F31" s="14" t="n"/>
      <c r="G31" s="14" t="n"/>
      <c r="H31" s="14" t="n"/>
      <c r="I31" s="29">
        <f>IF($A31="","",IF(E31="%",D31*F31/100,IF(E31="Fijo por mes",F31*G31,F31)))</f>
        <v/>
      </c>
      <c r="J31" s="29">
        <f>IF($A31="","",ROUNDUP(D31/G31,0))</f>
        <v/>
      </c>
      <c r="K31" s="29">
        <f>IF($A31="","",ROUNDDOWN(I31/G31,0))</f>
        <v/>
      </c>
      <c r="L31" s="29">
        <f>IF($A31="","",J31+K31)</f>
        <v/>
      </c>
      <c r="M31" s="16">
        <f>IF($A31="","",IF(E31="%",D31&amp;"*"&amp;F31&amp;"%",IF(E31="Fijo por mes",D31&amp;"cap+"&amp;F31&amp;"int/mes",D31&amp;"cap+"&amp;I31&amp;"int"))&amp;IF(G31&gt;1,IF(E31="Fijo por mes"," x ","/")&amp;G31&amp;"mes","")&amp;"  →  "&amp;J31&amp;"cap+"&amp;K31&amp;"int="&amp;L31)</f>
        <v/>
      </c>
      <c r="N31" s="29">
        <f>IF($A31="","",SUMIFS(Cuotas!$F$2:$F$601,Cuotas!$A$2:$A$601,$A31,Cuotas!$I$2:$I$601,"Pendiente"))</f>
        <v/>
      </c>
      <c r="O31" s="29">
        <f>IF($A31="","",SUMIFS(Cuotas!$G$2:$G$601,Cuotas!$A$2:$A$601,$A31,Cuotas!$I$2:$I$601,"Pagado"))</f>
        <v/>
      </c>
      <c r="P31" s="32">
        <f>IF($A31="","",IF(COUNTIFS(Cuotas!$A$2:$A$601,$A31,Cuotas!$I$2:$I$601,"Pendiente")=0,"—",_xlfn.MINIFS(Cuotas!$E$2:$E$601,Cuotas!$A$2:$A$601,$A31,Cuotas!$I$2:$I$601,"Pendiente")))</f>
        <v/>
      </c>
      <c r="Q31" s="18">
        <f>IF($A31="","",COUNTIFS(Cuotas!$A$2:$A$601,$A31,Cuotas!$I$2:$I$601,"Pagado")&amp;"/"&amp;COUNTIFS(Cuotas!$A$2:$A$601,$A31))</f>
        <v/>
      </c>
      <c r="R31" s="16">
        <f>IF($A31="","",IF(COUNTIFS(Cuotas!$A$2:$A$601,$A31,Cuotas!$I$2:$I$601,"Pendiente")=0,"Terminado",IF(P31&lt;TODAY(),"Atrasado","Al día")))</f>
        <v/>
      </c>
    </row>
    <row r="32">
      <c r="A32" s="14" t="n"/>
      <c r="B32" s="14" t="n"/>
      <c r="C32" s="14" t="n"/>
      <c r="D32" s="31" t="n"/>
      <c r="E32" s="14" t="n"/>
      <c r="F32" s="14" t="n"/>
      <c r="G32" s="14" t="n"/>
      <c r="H32" s="14" t="n"/>
      <c r="I32" s="29">
        <f>IF($A32="","",IF(E32="%",D32*F32/100,IF(E32="Fijo por mes",F32*G32,F32)))</f>
        <v/>
      </c>
      <c r="J32" s="29">
        <f>IF($A32="","",ROUNDUP(D32/G32,0))</f>
        <v/>
      </c>
      <c r="K32" s="29">
        <f>IF($A32="","",ROUNDDOWN(I32/G32,0))</f>
        <v/>
      </c>
      <c r="L32" s="29">
        <f>IF($A32="","",J32+K32)</f>
        <v/>
      </c>
      <c r="M32" s="16">
        <f>IF($A32="","",IF(E32="%",D32&amp;"*"&amp;F32&amp;"%",IF(E32="Fijo por mes",D32&amp;"cap+"&amp;F32&amp;"int/mes",D32&amp;"cap+"&amp;I32&amp;"int"))&amp;IF(G32&gt;1,IF(E32="Fijo por mes"," x ","/")&amp;G32&amp;"mes","")&amp;"  →  "&amp;J32&amp;"cap+"&amp;K32&amp;"int="&amp;L32)</f>
        <v/>
      </c>
      <c r="N32" s="29">
        <f>IF($A32="","",SUMIFS(Cuotas!$F$2:$F$601,Cuotas!$A$2:$A$601,$A32,Cuotas!$I$2:$I$601,"Pendiente"))</f>
        <v/>
      </c>
      <c r="O32" s="29">
        <f>IF($A32="","",SUMIFS(Cuotas!$G$2:$G$601,Cuotas!$A$2:$A$601,$A32,Cuotas!$I$2:$I$601,"Pagado"))</f>
        <v/>
      </c>
      <c r="P32" s="32">
        <f>IF($A32="","",IF(COUNTIFS(Cuotas!$A$2:$A$601,$A32,Cuotas!$I$2:$I$601,"Pendiente")=0,"—",_xlfn.MINIFS(Cuotas!$E$2:$E$601,Cuotas!$A$2:$A$601,$A32,Cuotas!$I$2:$I$601,"Pendiente")))</f>
        <v/>
      </c>
      <c r="Q32" s="18">
        <f>IF($A32="","",COUNTIFS(Cuotas!$A$2:$A$601,$A32,Cuotas!$I$2:$I$601,"Pagado")&amp;"/"&amp;COUNTIFS(Cuotas!$A$2:$A$601,$A32))</f>
        <v/>
      </c>
      <c r="R32" s="16">
        <f>IF($A32="","",IF(COUNTIFS(Cuotas!$A$2:$A$601,$A32,Cuotas!$I$2:$I$601,"Pendiente")=0,"Terminado",IF(P32&lt;TODAY(),"Atrasado","Al día")))</f>
        <v/>
      </c>
    </row>
    <row r="33">
      <c r="A33" s="14" t="n"/>
      <c r="B33" s="14" t="n"/>
      <c r="C33" s="14" t="n"/>
      <c r="D33" s="31" t="n"/>
      <c r="E33" s="14" t="n"/>
      <c r="F33" s="14" t="n"/>
      <c r="G33" s="14" t="n"/>
      <c r="H33" s="14" t="n"/>
      <c r="I33" s="29">
        <f>IF($A33="","",IF(E33="%",D33*F33/100,IF(E33="Fijo por mes",F33*G33,F33)))</f>
        <v/>
      </c>
      <c r="J33" s="29">
        <f>IF($A33="","",ROUNDUP(D33/G33,0))</f>
        <v/>
      </c>
      <c r="K33" s="29">
        <f>IF($A33="","",ROUNDDOWN(I33/G33,0))</f>
        <v/>
      </c>
      <c r="L33" s="29">
        <f>IF($A33="","",J33+K33)</f>
        <v/>
      </c>
      <c r="M33" s="16">
        <f>IF($A33="","",IF(E33="%",D33&amp;"*"&amp;F33&amp;"%",IF(E33="Fijo por mes",D33&amp;"cap+"&amp;F33&amp;"int/mes",D33&amp;"cap+"&amp;I33&amp;"int"))&amp;IF(G33&gt;1,IF(E33="Fijo por mes"," x ","/")&amp;G33&amp;"mes","")&amp;"  →  "&amp;J33&amp;"cap+"&amp;K33&amp;"int="&amp;L33)</f>
        <v/>
      </c>
      <c r="N33" s="29">
        <f>IF($A33="","",SUMIFS(Cuotas!$F$2:$F$601,Cuotas!$A$2:$A$601,$A33,Cuotas!$I$2:$I$601,"Pendiente"))</f>
        <v/>
      </c>
      <c r="O33" s="29">
        <f>IF($A33="","",SUMIFS(Cuotas!$G$2:$G$601,Cuotas!$A$2:$A$601,$A33,Cuotas!$I$2:$I$601,"Pagado"))</f>
        <v/>
      </c>
      <c r="P33" s="32">
        <f>IF($A33="","",IF(COUNTIFS(Cuotas!$A$2:$A$601,$A33,Cuotas!$I$2:$I$601,"Pendiente")=0,"—",_xlfn.MINIFS(Cuotas!$E$2:$E$601,Cuotas!$A$2:$A$601,$A33,Cuotas!$I$2:$I$601,"Pendiente")))</f>
        <v/>
      </c>
      <c r="Q33" s="18">
        <f>IF($A33="","",COUNTIFS(Cuotas!$A$2:$A$601,$A33,Cuotas!$I$2:$I$601,"Pagado")&amp;"/"&amp;COUNTIFS(Cuotas!$A$2:$A$601,$A33))</f>
        <v/>
      </c>
      <c r="R33" s="16">
        <f>IF($A33="","",IF(COUNTIFS(Cuotas!$A$2:$A$601,$A33,Cuotas!$I$2:$I$601,"Pendiente")=0,"Terminado",IF(P33&lt;TODAY(),"Atrasado","Al día")))</f>
        <v/>
      </c>
    </row>
    <row r="34">
      <c r="A34" s="14" t="n"/>
      <c r="B34" s="14" t="n"/>
      <c r="C34" s="14" t="n"/>
      <c r="D34" s="31" t="n"/>
      <c r="E34" s="14" t="n"/>
      <c r="F34" s="14" t="n"/>
      <c r="G34" s="14" t="n"/>
      <c r="H34" s="14" t="n"/>
      <c r="I34" s="29">
        <f>IF($A34="","",IF(E34="%",D34*F34/100,IF(E34="Fijo por mes",F34*G34,F34)))</f>
        <v/>
      </c>
      <c r="J34" s="29">
        <f>IF($A34="","",ROUNDUP(D34/G34,0))</f>
        <v/>
      </c>
      <c r="K34" s="29">
        <f>IF($A34="","",ROUNDDOWN(I34/G34,0))</f>
        <v/>
      </c>
      <c r="L34" s="29">
        <f>IF($A34="","",J34+K34)</f>
        <v/>
      </c>
      <c r="M34" s="16">
        <f>IF($A34="","",IF(E34="%",D34&amp;"*"&amp;F34&amp;"%",IF(E34="Fijo por mes",D34&amp;"cap+"&amp;F34&amp;"int/mes",D34&amp;"cap+"&amp;I34&amp;"int"))&amp;IF(G34&gt;1,IF(E34="Fijo por mes"," x ","/")&amp;G34&amp;"mes","")&amp;"  →  "&amp;J34&amp;"cap+"&amp;K34&amp;"int="&amp;L34)</f>
        <v/>
      </c>
      <c r="N34" s="29">
        <f>IF($A34="","",SUMIFS(Cuotas!$F$2:$F$601,Cuotas!$A$2:$A$601,$A34,Cuotas!$I$2:$I$601,"Pendiente"))</f>
        <v/>
      </c>
      <c r="O34" s="29">
        <f>IF($A34="","",SUMIFS(Cuotas!$G$2:$G$601,Cuotas!$A$2:$A$601,$A34,Cuotas!$I$2:$I$601,"Pagado"))</f>
        <v/>
      </c>
      <c r="P34" s="32">
        <f>IF($A34="","",IF(COUNTIFS(Cuotas!$A$2:$A$601,$A34,Cuotas!$I$2:$I$601,"Pendiente")=0,"—",_xlfn.MINIFS(Cuotas!$E$2:$E$601,Cuotas!$A$2:$A$601,$A34,Cuotas!$I$2:$I$601,"Pendiente")))</f>
        <v/>
      </c>
      <c r="Q34" s="18">
        <f>IF($A34="","",COUNTIFS(Cuotas!$A$2:$A$601,$A34,Cuotas!$I$2:$I$601,"Pagado")&amp;"/"&amp;COUNTIFS(Cuotas!$A$2:$A$601,$A34))</f>
        <v/>
      </c>
      <c r="R34" s="16">
        <f>IF($A34="","",IF(COUNTIFS(Cuotas!$A$2:$A$601,$A34,Cuotas!$I$2:$I$601,"Pendiente")=0,"Terminado",IF(P34&lt;TODAY(),"Atrasado","Al día")))</f>
        <v/>
      </c>
    </row>
    <row r="35">
      <c r="A35" s="14" t="n"/>
      <c r="B35" s="14" t="n"/>
      <c r="C35" s="14" t="n"/>
      <c r="D35" s="31" t="n"/>
      <c r="E35" s="14" t="n"/>
      <c r="F35" s="14" t="n"/>
      <c r="G35" s="14" t="n"/>
      <c r="H35" s="14" t="n"/>
      <c r="I35" s="29">
        <f>IF($A35="","",IF(E35="%",D35*F35/100,IF(E35="Fijo por mes",F35*G35,F35)))</f>
        <v/>
      </c>
      <c r="J35" s="29">
        <f>IF($A35="","",ROUNDUP(D35/G35,0))</f>
        <v/>
      </c>
      <c r="K35" s="29">
        <f>IF($A35="","",ROUNDDOWN(I35/G35,0))</f>
        <v/>
      </c>
      <c r="L35" s="29">
        <f>IF($A35="","",J35+K35)</f>
        <v/>
      </c>
      <c r="M35" s="16">
        <f>IF($A35="","",IF(E35="%",D35&amp;"*"&amp;F35&amp;"%",IF(E35="Fijo por mes",D35&amp;"cap+"&amp;F35&amp;"int/mes",D35&amp;"cap+"&amp;I35&amp;"int"))&amp;IF(G35&gt;1,IF(E35="Fijo por mes"," x ","/")&amp;G35&amp;"mes","")&amp;"  →  "&amp;J35&amp;"cap+"&amp;K35&amp;"int="&amp;L35)</f>
        <v/>
      </c>
      <c r="N35" s="29">
        <f>IF($A35="","",SUMIFS(Cuotas!$F$2:$F$601,Cuotas!$A$2:$A$601,$A35,Cuotas!$I$2:$I$601,"Pendiente"))</f>
        <v/>
      </c>
      <c r="O35" s="29">
        <f>IF($A35="","",SUMIFS(Cuotas!$G$2:$G$601,Cuotas!$A$2:$A$601,$A35,Cuotas!$I$2:$I$601,"Pagado"))</f>
        <v/>
      </c>
      <c r="P35" s="32">
        <f>IF($A35="","",IF(COUNTIFS(Cuotas!$A$2:$A$601,$A35,Cuotas!$I$2:$I$601,"Pendiente")=0,"—",_xlfn.MINIFS(Cuotas!$E$2:$E$601,Cuotas!$A$2:$A$601,$A35,Cuotas!$I$2:$I$601,"Pendiente")))</f>
        <v/>
      </c>
      <c r="Q35" s="18">
        <f>IF($A35="","",COUNTIFS(Cuotas!$A$2:$A$601,$A35,Cuotas!$I$2:$I$601,"Pagado")&amp;"/"&amp;COUNTIFS(Cuotas!$A$2:$A$601,$A35))</f>
        <v/>
      </c>
      <c r="R35" s="16">
        <f>IF($A35="","",IF(COUNTIFS(Cuotas!$A$2:$A$601,$A35,Cuotas!$I$2:$I$601,"Pendiente")=0,"Terminado",IF(P35&lt;TODAY(),"Atrasado","Al día")))</f>
        <v/>
      </c>
    </row>
    <row r="36">
      <c r="A36" s="14" t="n"/>
      <c r="B36" s="14" t="n"/>
      <c r="C36" s="14" t="n"/>
      <c r="D36" s="31" t="n"/>
      <c r="E36" s="14" t="n"/>
      <c r="F36" s="14" t="n"/>
      <c r="G36" s="14" t="n"/>
      <c r="H36" s="14" t="n"/>
      <c r="I36" s="29">
        <f>IF($A36="","",IF(E36="%",D36*F36/100,IF(E36="Fijo por mes",F36*G36,F36)))</f>
        <v/>
      </c>
      <c r="J36" s="29">
        <f>IF($A36="","",ROUNDUP(D36/G36,0))</f>
        <v/>
      </c>
      <c r="K36" s="29">
        <f>IF($A36="","",ROUNDDOWN(I36/G36,0))</f>
        <v/>
      </c>
      <c r="L36" s="29">
        <f>IF($A36="","",J36+K36)</f>
        <v/>
      </c>
      <c r="M36" s="16">
        <f>IF($A36="","",IF(E36="%",D36&amp;"*"&amp;F36&amp;"%",IF(E36="Fijo por mes",D36&amp;"cap+"&amp;F36&amp;"int/mes",D36&amp;"cap+"&amp;I36&amp;"int"))&amp;IF(G36&gt;1,IF(E36="Fijo por mes"," x ","/")&amp;G36&amp;"mes","")&amp;"  →  "&amp;J36&amp;"cap+"&amp;K36&amp;"int="&amp;L36)</f>
        <v/>
      </c>
      <c r="N36" s="29">
        <f>IF($A36="","",SUMIFS(Cuotas!$F$2:$F$601,Cuotas!$A$2:$A$601,$A36,Cuotas!$I$2:$I$601,"Pendiente"))</f>
        <v/>
      </c>
      <c r="O36" s="29">
        <f>IF($A36="","",SUMIFS(Cuotas!$G$2:$G$601,Cuotas!$A$2:$A$601,$A36,Cuotas!$I$2:$I$601,"Pagado"))</f>
        <v/>
      </c>
      <c r="P36" s="32">
        <f>IF($A36="","",IF(COUNTIFS(Cuotas!$A$2:$A$601,$A36,Cuotas!$I$2:$I$601,"Pendiente")=0,"—",_xlfn.MINIFS(Cuotas!$E$2:$E$601,Cuotas!$A$2:$A$601,$A36,Cuotas!$I$2:$I$601,"Pendiente")))</f>
        <v/>
      </c>
      <c r="Q36" s="18">
        <f>IF($A36="","",COUNTIFS(Cuotas!$A$2:$A$601,$A36,Cuotas!$I$2:$I$601,"Pagado")&amp;"/"&amp;COUNTIFS(Cuotas!$A$2:$A$601,$A36))</f>
        <v/>
      </c>
      <c r="R36" s="16">
        <f>IF($A36="","",IF(COUNTIFS(Cuotas!$A$2:$A$601,$A36,Cuotas!$I$2:$I$601,"Pendiente")=0,"Terminado",IF(P36&lt;TODAY(),"Atrasado","Al día")))</f>
        <v/>
      </c>
    </row>
    <row r="37">
      <c r="A37" s="14" t="n"/>
      <c r="B37" s="14" t="n"/>
      <c r="C37" s="14" t="n"/>
      <c r="D37" s="31" t="n"/>
      <c r="E37" s="14" t="n"/>
      <c r="F37" s="14" t="n"/>
      <c r="G37" s="14" t="n"/>
      <c r="H37" s="14" t="n"/>
      <c r="I37" s="29">
        <f>IF($A37="","",IF(E37="%",D37*F37/100,IF(E37="Fijo por mes",F37*G37,F37)))</f>
        <v/>
      </c>
      <c r="J37" s="29">
        <f>IF($A37="","",ROUNDUP(D37/G37,0))</f>
        <v/>
      </c>
      <c r="K37" s="29">
        <f>IF($A37="","",ROUNDDOWN(I37/G37,0))</f>
        <v/>
      </c>
      <c r="L37" s="29">
        <f>IF($A37="","",J37+K37)</f>
        <v/>
      </c>
      <c r="M37" s="16">
        <f>IF($A37="","",IF(E37="%",D37&amp;"*"&amp;F37&amp;"%",IF(E37="Fijo por mes",D37&amp;"cap+"&amp;F37&amp;"int/mes",D37&amp;"cap+"&amp;I37&amp;"int"))&amp;IF(G37&gt;1,IF(E37="Fijo por mes"," x ","/")&amp;G37&amp;"mes","")&amp;"  →  "&amp;J37&amp;"cap+"&amp;K37&amp;"int="&amp;L37)</f>
        <v/>
      </c>
      <c r="N37" s="29">
        <f>IF($A37="","",SUMIFS(Cuotas!$F$2:$F$601,Cuotas!$A$2:$A$601,$A37,Cuotas!$I$2:$I$601,"Pendiente"))</f>
        <v/>
      </c>
      <c r="O37" s="29">
        <f>IF($A37="","",SUMIFS(Cuotas!$G$2:$G$601,Cuotas!$A$2:$A$601,$A37,Cuotas!$I$2:$I$601,"Pagado"))</f>
        <v/>
      </c>
      <c r="P37" s="32">
        <f>IF($A37="","",IF(COUNTIFS(Cuotas!$A$2:$A$601,$A37,Cuotas!$I$2:$I$601,"Pendiente")=0,"—",_xlfn.MINIFS(Cuotas!$E$2:$E$601,Cuotas!$A$2:$A$601,$A37,Cuotas!$I$2:$I$601,"Pendiente")))</f>
        <v/>
      </c>
      <c r="Q37" s="18">
        <f>IF($A37="","",COUNTIFS(Cuotas!$A$2:$A$601,$A37,Cuotas!$I$2:$I$601,"Pagado")&amp;"/"&amp;COUNTIFS(Cuotas!$A$2:$A$601,$A37))</f>
        <v/>
      </c>
      <c r="R37" s="16">
        <f>IF($A37="","",IF(COUNTIFS(Cuotas!$A$2:$A$601,$A37,Cuotas!$I$2:$I$601,"Pendiente")=0,"Terminado",IF(P37&lt;TODAY(),"Atrasado","Al día")))</f>
        <v/>
      </c>
    </row>
    <row r="38">
      <c r="A38" s="14" t="n"/>
      <c r="B38" s="14" t="n"/>
      <c r="C38" s="14" t="n"/>
      <c r="D38" s="31" t="n"/>
      <c r="E38" s="14" t="n"/>
      <c r="F38" s="14" t="n"/>
      <c r="G38" s="14" t="n"/>
      <c r="H38" s="14" t="n"/>
      <c r="I38" s="29">
        <f>IF($A38="","",IF(E38="%",D38*F38/100,IF(E38="Fijo por mes",F38*G38,F38)))</f>
        <v/>
      </c>
      <c r="J38" s="29">
        <f>IF($A38="","",ROUNDUP(D38/G38,0))</f>
        <v/>
      </c>
      <c r="K38" s="29">
        <f>IF($A38="","",ROUNDDOWN(I38/G38,0))</f>
        <v/>
      </c>
      <c r="L38" s="29">
        <f>IF($A38="","",J38+K38)</f>
        <v/>
      </c>
      <c r="M38" s="16">
        <f>IF($A38="","",IF(E38="%",D38&amp;"*"&amp;F38&amp;"%",IF(E38="Fijo por mes",D38&amp;"cap+"&amp;F38&amp;"int/mes",D38&amp;"cap+"&amp;I38&amp;"int"))&amp;IF(G38&gt;1,IF(E38="Fijo por mes"," x ","/")&amp;G38&amp;"mes","")&amp;"  →  "&amp;J38&amp;"cap+"&amp;K38&amp;"int="&amp;L38)</f>
        <v/>
      </c>
      <c r="N38" s="29">
        <f>IF($A38="","",SUMIFS(Cuotas!$F$2:$F$601,Cuotas!$A$2:$A$601,$A38,Cuotas!$I$2:$I$601,"Pendiente"))</f>
        <v/>
      </c>
      <c r="O38" s="29">
        <f>IF($A38="","",SUMIFS(Cuotas!$G$2:$G$601,Cuotas!$A$2:$A$601,$A38,Cuotas!$I$2:$I$601,"Pagado"))</f>
        <v/>
      </c>
      <c r="P38" s="32">
        <f>IF($A38="","",IF(COUNTIFS(Cuotas!$A$2:$A$601,$A38,Cuotas!$I$2:$I$601,"Pendiente")=0,"—",_xlfn.MINIFS(Cuotas!$E$2:$E$601,Cuotas!$A$2:$A$601,$A38,Cuotas!$I$2:$I$601,"Pendiente")))</f>
        <v/>
      </c>
      <c r="Q38" s="18">
        <f>IF($A38="","",COUNTIFS(Cuotas!$A$2:$A$601,$A38,Cuotas!$I$2:$I$601,"Pagado")&amp;"/"&amp;COUNTIFS(Cuotas!$A$2:$A$601,$A38))</f>
        <v/>
      </c>
      <c r="R38" s="16">
        <f>IF($A38="","",IF(COUNTIFS(Cuotas!$A$2:$A$601,$A38,Cuotas!$I$2:$I$601,"Pendiente")=0,"Terminado",IF(P38&lt;TODAY(),"Atrasado","Al día")))</f>
        <v/>
      </c>
    </row>
    <row r="39">
      <c r="A39" s="14" t="n"/>
      <c r="B39" s="14" t="n"/>
      <c r="C39" s="14" t="n"/>
      <c r="D39" s="31" t="n"/>
      <c r="E39" s="14" t="n"/>
      <c r="F39" s="14" t="n"/>
      <c r="G39" s="14" t="n"/>
      <c r="H39" s="14" t="n"/>
      <c r="I39" s="29">
        <f>IF($A39="","",IF(E39="%",D39*F39/100,IF(E39="Fijo por mes",F39*G39,F39)))</f>
        <v/>
      </c>
      <c r="J39" s="29">
        <f>IF($A39="","",ROUNDUP(D39/G39,0))</f>
        <v/>
      </c>
      <c r="K39" s="29">
        <f>IF($A39="","",ROUNDDOWN(I39/G39,0))</f>
        <v/>
      </c>
      <c r="L39" s="29">
        <f>IF($A39="","",J39+K39)</f>
        <v/>
      </c>
      <c r="M39" s="16">
        <f>IF($A39="","",IF(E39="%",D39&amp;"*"&amp;F39&amp;"%",IF(E39="Fijo por mes",D39&amp;"cap+"&amp;F39&amp;"int/mes",D39&amp;"cap+"&amp;I39&amp;"int"))&amp;IF(G39&gt;1,IF(E39="Fijo por mes"," x ","/")&amp;G39&amp;"mes","")&amp;"  →  "&amp;J39&amp;"cap+"&amp;K39&amp;"int="&amp;L39)</f>
        <v/>
      </c>
      <c r="N39" s="29">
        <f>IF($A39="","",SUMIFS(Cuotas!$F$2:$F$601,Cuotas!$A$2:$A$601,$A39,Cuotas!$I$2:$I$601,"Pendiente"))</f>
        <v/>
      </c>
      <c r="O39" s="29">
        <f>IF($A39="","",SUMIFS(Cuotas!$G$2:$G$601,Cuotas!$A$2:$A$601,$A39,Cuotas!$I$2:$I$601,"Pagado"))</f>
        <v/>
      </c>
      <c r="P39" s="32">
        <f>IF($A39="","",IF(COUNTIFS(Cuotas!$A$2:$A$601,$A39,Cuotas!$I$2:$I$601,"Pendiente")=0,"—",_xlfn.MINIFS(Cuotas!$E$2:$E$601,Cuotas!$A$2:$A$601,$A39,Cuotas!$I$2:$I$601,"Pendiente")))</f>
        <v/>
      </c>
      <c r="Q39" s="18">
        <f>IF($A39="","",COUNTIFS(Cuotas!$A$2:$A$601,$A39,Cuotas!$I$2:$I$601,"Pagado")&amp;"/"&amp;COUNTIFS(Cuotas!$A$2:$A$601,$A39))</f>
        <v/>
      </c>
      <c r="R39" s="16">
        <f>IF($A39="","",IF(COUNTIFS(Cuotas!$A$2:$A$601,$A39,Cuotas!$I$2:$I$601,"Pendiente")=0,"Terminado",IF(P39&lt;TODAY(),"Atrasado","Al día")))</f>
        <v/>
      </c>
    </row>
    <row r="40">
      <c r="A40" s="14" t="n"/>
      <c r="B40" s="14" t="n"/>
      <c r="C40" s="14" t="n"/>
      <c r="D40" s="31" t="n"/>
      <c r="E40" s="14" t="n"/>
      <c r="F40" s="14" t="n"/>
      <c r="G40" s="14" t="n"/>
      <c r="H40" s="14" t="n"/>
      <c r="I40" s="29">
        <f>IF($A40="","",IF(E40="%",D40*F40/100,IF(E40="Fijo por mes",F40*G40,F40)))</f>
        <v/>
      </c>
      <c r="J40" s="29">
        <f>IF($A40="","",ROUNDUP(D40/G40,0))</f>
        <v/>
      </c>
      <c r="K40" s="29">
        <f>IF($A40="","",ROUNDDOWN(I40/G40,0))</f>
        <v/>
      </c>
      <c r="L40" s="29">
        <f>IF($A40="","",J40+K40)</f>
        <v/>
      </c>
      <c r="M40" s="16">
        <f>IF($A40="","",IF(E40="%",D40&amp;"*"&amp;F40&amp;"%",IF(E40="Fijo por mes",D40&amp;"cap+"&amp;F40&amp;"int/mes",D40&amp;"cap+"&amp;I40&amp;"int"))&amp;IF(G40&gt;1,IF(E40="Fijo por mes"," x ","/")&amp;G40&amp;"mes","")&amp;"  →  "&amp;J40&amp;"cap+"&amp;K40&amp;"int="&amp;L40)</f>
        <v/>
      </c>
      <c r="N40" s="29">
        <f>IF($A40="","",SUMIFS(Cuotas!$F$2:$F$601,Cuotas!$A$2:$A$601,$A40,Cuotas!$I$2:$I$601,"Pendiente"))</f>
        <v/>
      </c>
      <c r="O40" s="29">
        <f>IF($A40="","",SUMIFS(Cuotas!$G$2:$G$601,Cuotas!$A$2:$A$601,$A40,Cuotas!$I$2:$I$601,"Pagado"))</f>
        <v/>
      </c>
      <c r="P40" s="32">
        <f>IF($A40="","",IF(COUNTIFS(Cuotas!$A$2:$A$601,$A40,Cuotas!$I$2:$I$601,"Pendiente")=0,"—",_xlfn.MINIFS(Cuotas!$E$2:$E$601,Cuotas!$A$2:$A$601,$A40,Cuotas!$I$2:$I$601,"Pendiente")))</f>
        <v/>
      </c>
      <c r="Q40" s="18">
        <f>IF($A40="","",COUNTIFS(Cuotas!$A$2:$A$601,$A40,Cuotas!$I$2:$I$601,"Pagado")&amp;"/"&amp;COUNTIFS(Cuotas!$A$2:$A$601,$A40))</f>
        <v/>
      </c>
      <c r="R40" s="16">
        <f>IF($A40="","",IF(COUNTIFS(Cuotas!$A$2:$A$601,$A40,Cuotas!$I$2:$I$601,"Pendiente")=0,"Terminado",IF(P40&lt;TODAY(),"Atrasado","Al día")))</f>
        <v/>
      </c>
    </row>
    <row r="41">
      <c r="A41" s="14" t="n"/>
      <c r="B41" s="14" t="n"/>
      <c r="C41" s="14" t="n"/>
      <c r="D41" s="31" t="n"/>
      <c r="E41" s="14" t="n"/>
      <c r="F41" s="14" t="n"/>
      <c r="G41" s="14" t="n"/>
      <c r="H41" s="14" t="n"/>
      <c r="I41" s="29">
        <f>IF($A41="","",IF(E41="%",D41*F41/100,IF(E41="Fijo por mes",F41*G41,F41)))</f>
        <v/>
      </c>
      <c r="J41" s="29">
        <f>IF($A41="","",ROUNDUP(D41/G41,0))</f>
        <v/>
      </c>
      <c r="K41" s="29">
        <f>IF($A41="","",ROUNDDOWN(I41/G41,0))</f>
        <v/>
      </c>
      <c r="L41" s="29">
        <f>IF($A41="","",J41+K41)</f>
        <v/>
      </c>
      <c r="M41" s="16">
        <f>IF($A41="","",IF(E41="%",D41&amp;"*"&amp;F41&amp;"%",IF(E41="Fijo por mes",D41&amp;"cap+"&amp;F41&amp;"int/mes",D41&amp;"cap+"&amp;I41&amp;"int"))&amp;IF(G41&gt;1,IF(E41="Fijo por mes"," x ","/")&amp;G41&amp;"mes","")&amp;"  →  "&amp;J41&amp;"cap+"&amp;K41&amp;"int="&amp;L41)</f>
        <v/>
      </c>
      <c r="N41" s="29">
        <f>IF($A41="","",SUMIFS(Cuotas!$F$2:$F$601,Cuotas!$A$2:$A$601,$A41,Cuotas!$I$2:$I$601,"Pendiente"))</f>
        <v/>
      </c>
      <c r="O41" s="29">
        <f>IF($A41="","",SUMIFS(Cuotas!$G$2:$G$601,Cuotas!$A$2:$A$601,$A41,Cuotas!$I$2:$I$601,"Pagado"))</f>
        <v/>
      </c>
      <c r="P41" s="32">
        <f>IF($A41="","",IF(COUNTIFS(Cuotas!$A$2:$A$601,$A41,Cuotas!$I$2:$I$601,"Pendiente")=0,"—",_xlfn.MINIFS(Cuotas!$E$2:$E$601,Cuotas!$A$2:$A$601,$A41,Cuotas!$I$2:$I$601,"Pendiente")))</f>
        <v/>
      </c>
      <c r="Q41" s="18">
        <f>IF($A41="","",COUNTIFS(Cuotas!$A$2:$A$601,$A41,Cuotas!$I$2:$I$601,"Pagado")&amp;"/"&amp;COUNTIFS(Cuotas!$A$2:$A$601,$A41))</f>
        <v/>
      </c>
      <c r="R41" s="16">
        <f>IF($A41="","",IF(COUNTIFS(Cuotas!$A$2:$A$601,$A41,Cuotas!$I$2:$I$601,"Pendiente")=0,"Terminado",IF(P41&lt;TODAY(),"Atrasado","Al día")))</f>
        <v/>
      </c>
    </row>
    <row r="42">
      <c r="A42" s="14" t="n"/>
      <c r="B42" s="14" t="n"/>
      <c r="C42" s="14" t="n"/>
      <c r="D42" s="31" t="n"/>
      <c r="E42" s="14" t="n"/>
      <c r="F42" s="14" t="n"/>
      <c r="G42" s="14" t="n"/>
      <c r="H42" s="14" t="n"/>
      <c r="I42" s="29">
        <f>IF($A42="","",IF(E42="%",D42*F42/100,IF(E42="Fijo por mes",F42*G42,F42)))</f>
        <v/>
      </c>
      <c r="J42" s="29">
        <f>IF($A42="","",ROUNDUP(D42/G42,0))</f>
        <v/>
      </c>
      <c r="K42" s="29">
        <f>IF($A42="","",ROUNDDOWN(I42/G42,0))</f>
        <v/>
      </c>
      <c r="L42" s="29">
        <f>IF($A42="","",J42+K42)</f>
        <v/>
      </c>
      <c r="M42" s="16">
        <f>IF($A42="","",IF(E42="%",D42&amp;"*"&amp;F42&amp;"%",IF(E42="Fijo por mes",D42&amp;"cap+"&amp;F42&amp;"int/mes",D42&amp;"cap+"&amp;I42&amp;"int"))&amp;IF(G42&gt;1,IF(E42="Fijo por mes"," x ","/")&amp;G42&amp;"mes","")&amp;"  →  "&amp;J42&amp;"cap+"&amp;K42&amp;"int="&amp;L42)</f>
        <v/>
      </c>
      <c r="N42" s="29">
        <f>IF($A42="","",SUMIFS(Cuotas!$F$2:$F$601,Cuotas!$A$2:$A$601,$A42,Cuotas!$I$2:$I$601,"Pendiente"))</f>
        <v/>
      </c>
      <c r="O42" s="29">
        <f>IF($A42="","",SUMIFS(Cuotas!$G$2:$G$601,Cuotas!$A$2:$A$601,$A42,Cuotas!$I$2:$I$601,"Pagado"))</f>
        <v/>
      </c>
      <c r="P42" s="32">
        <f>IF($A42="","",IF(COUNTIFS(Cuotas!$A$2:$A$601,$A42,Cuotas!$I$2:$I$601,"Pendiente")=0,"—",_xlfn.MINIFS(Cuotas!$E$2:$E$601,Cuotas!$A$2:$A$601,$A42,Cuotas!$I$2:$I$601,"Pendiente")))</f>
        <v/>
      </c>
      <c r="Q42" s="18">
        <f>IF($A42="","",COUNTIFS(Cuotas!$A$2:$A$601,$A42,Cuotas!$I$2:$I$601,"Pagado")&amp;"/"&amp;COUNTIFS(Cuotas!$A$2:$A$601,$A42))</f>
        <v/>
      </c>
      <c r="R42" s="16">
        <f>IF($A42="","",IF(COUNTIFS(Cuotas!$A$2:$A$601,$A42,Cuotas!$I$2:$I$601,"Pendiente")=0,"Terminado",IF(P42&lt;TODAY(),"Atrasado","Al día")))</f>
        <v/>
      </c>
    </row>
    <row r="43">
      <c r="A43" s="14" t="n"/>
      <c r="B43" s="14" t="n"/>
      <c r="C43" s="14" t="n"/>
      <c r="D43" s="31" t="n"/>
      <c r="E43" s="14" t="n"/>
      <c r="F43" s="14" t="n"/>
      <c r="G43" s="14" t="n"/>
      <c r="H43" s="14" t="n"/>
      <c r="I43" s="29">
        <f>IF($A43="","",IF(E43="%",D43*F43/100,IF(E43="Fijo por mes",F43*G43,F43)))</f>
        <v/>
      </c>
      <c r="J43" s="29">
        <f>IF($A43="","",ROUNDUP(D43/G43,0))</f>
        <v/>
      </c>
      <c r="K43" s="29">
        <f>IF($A43="","",ROUNDDOWN(I43/G43,0))</f>
        <v/>
      </c>
      <c r="L43" s="29">
        <f>IF($A43="","",J43+K43)</f>
        <v/>
      </c>
      <c r="M43" s="16">
        <f>IF($A43="","",IF(E43="%",D43&amp;"*"&amp;F43&amp;"%",IF(E43="Fijo por mes",D43&amp;"cap+"&amp;F43&amp;"int/mes",D43&amp;"cap+"&amp;I43&amp;"int"))&amp;IF(G43&gt;1,IF(E43="Fijo por mes"," x ","/")&amp;G43&amp;"mes","")&amp;"  →  "&amp;J43&amp;"cap+"&amp;K43&amp;"int="&amp;L43)</f>
        <v/>
      </c>
      <c r="N43" s="29">
        <f>IF($A43="","",SUMIFS(Cuotas!$F$2:$F$601,Cuotas!$A$2:$A$601,$A43,Cuotas!$I$2:$I$601,"Pendiente"))</f>
        <v/>
      </c>
      <c r="O43" s="29">
        <f>IF($A43="","",SUMIFS(Cuotas!$G$2:$G$601,Cuotas!$A$2:$A$601,$A43,Cuotas!$I$2:$I$601,"Pagado"))</f>
        <v/>
      </c>
      <c r="P43" s="32">
        <f>IF($A43="","",IF(COUNTIFS(Cuotas!$A$2:$A$601,$A43,Cuotas!$I$2:$I$601,"Pendiente")=0,"—",_xlfn.MINIFS(Cuotas!$E$2:$E$601,Cuotas!$A$2:$A$601,$A43,Cuotas!$I$2:$I$601,"Pendiente")))</f>
        <v/>
      </c>
      <c r="Q43" s="18">
        <f>IF($A43="","",COUNTIFS(Cuotas!$A$2:$A$601,$A43,Cuotas!$I$2:$I$601,"Pagado")&amp;"/"&amp;COUNTIFS(Cuotas!$A$2:$A$601,$A43))</f>
        <v/>
      </c>
      <c r="R43" s="16">
        <f>IF($A43="","",IF(COUNTIFS(Cuotas!$A$2:$A$601,$A43,Cuotas!$I$2:$I$601,"Pendiente")=0,"Terminado",IF(P43&lt;TODAY(),"Atrasado","Al día")))</f>
        <v/>
      </c>
    </row>
    <row r="44">
      <c r="A44" s="14" t="n"/>
      <c r="B44" s="14" t="n"/>
      <c r="C44" s="14" t="n"/>
      <c r="D44" s="31" t="n"/>
      <c r="E44" s="14" t="n"/>
      <c r="F44" s="14" t="n"/>
      <c r="G44" s="14" t="n"/>
      <c r="H44" s="14" t="n"/>
      <c r="I44" s="29">
        <f>IF($A44="","",IF(E44="%",D44*F44/100,IF(E44="Fijo por mes",F44*G44,F44)))</f>
        <v/>
      </c>
      <c r="J44" s="29">
        <f>IF($A44="","",ROUNDUP(D44/G44,0))</f>
        <v/>
      </c>
      <c r="K44" s="29">
        <f>IF($A44="","",ROUNDDOWN(I44/G44,0))</f>
        <v/>
      </c>
      <c r="L44" s="29">
        <f>IF($A44="","",J44+K44)</f>
        <v/>
      </c>
      <c r="M44" s="16">
        <f>IF($A44="","",IF(E44="%",D44&amp;"*"&amp;F44&amp;"%",IF(E44="Fijo por mes",D44&amp;"cap+"&amp;F44&amp;"int/mes",D44&amp;"cap+"&amp;I44&amp;"int"))&amp;IF(G44&gt;1,IF(E44="Fijo por mes"," x ","/")&amp;G44&amp;"mes","")&amp;"  →  "&amp;J44&amp;"cap+"&amp;K44&amp;"int="&amp;L44)</f>
        <v/>
      </c>
      <c r="N44" s="29">
        <f>IF($A44="","",SUMIFS(Cuotas!$F$2:$F$601,Cuotas!$A$2:$A$601,$A44,Cuotas!$I$2:$I$601,"Pendiente"))</f>
        <v/>
      </c>
      <c r="O44" s="29">
        <f>IF($A44="","",SUMIFS(Cuotas!$G$2:$G$601,Cuotas!$A$2:$A$601,$A44,Cuotas!$I$2:$I$601,"Pagado"))</f>
        <v/>
      </c>
      <c r="P44" s="32">
        <f>IF($A44="","",IF(COUNTIFS(Cuotas!$A$2:$A$601,$A44,Cuotas!$I$2:$I$601,"Pendiente")=0,"—",_xlfn.MINIFS(Cuotas!$E$2:$E$601,Cuotas!$A$2:$A$601,$A44,Cuotas!$I$2:$I$601,"Pendiente")))</f>
        <v/>
      </c>
      <c r="Q44" s="18">
        <f>IF($A44="","",COUNTIFS(Cuotas!$A$2:$A$601,$A44,Cuotas!$I$2:$I$601,"Pagado")&amp;"/"&amp;COUNTIFS(Cuotas!$A$2:$A$601,$A44))</f>
        <v/>
      </c>
      <c r="R44" s="16">
        <f>IF($A44="","",IF(COUNTIFS(Cuotas!$A$2:$A$601,$A44,Cuotas!$I$2:$I$601,"Pendiente")=0,"Terminado",IF(P44&lt;TODAY(),"Atrasado","Al día")))</f>
        <v/>
      </c>
    </row>
    <row r="45">
      <c r="A45" s="14" t="n"/>
      <c r="B45" s="14" t="n"/>
      <c r="C45" s="14" t="n"/>
      <c r="D45" s="31" t="n"/>
      <c r="E45" s="14" t="n"/>
      <c r="F45" s="14" t="n"/>
      <c r="G45" s="14" t="n"/>
      <c r="H45" s="14" t="n"/>
      <c r="I45" s="29">
        <f>IF($A45="","",IF(E45="%",D45*F45/100,IF(E45="Fijo por mes",F45*G45,F45)))</f>
        <v/>
      </c>
      <c r="J45" s="29">
        <f>IF($A45="","",ROUNDUP(D45/G45,0))</f>
        <v/>
      </c>
      <c r="K45" s="29">
        <f>IF($A45="","",ROUNDDOWN(I45/G45,0))</f>
        <v/>
      </c>
      <c r="L45" s="29">
        <f>IF($A45="","",J45+K45)</f>
        <v/>
      </c>
      <c r="M45" s="16">
        <f>IF($A45="","",IF(E45="%",D45&amp;"*"&amp;F45&amp;"%",IF(E45="Fijo por mes",D45&amp;"cap+"&amp;F45&amp;"int/mes",D45&amp;"cap+"&amp;I45&amp;"int"))&amp;IF(G45&gt;1,IF(E45="Fijo por mes"," x ","/")&amp;G45&amp;"mes","")&amp;"  →  "&amp;J45&amp;"cap+"&amp;K45&amp;"int="&amp;L45)</f>
        <v/>
      </c>
      <c r="N45" s="29">
        <f>IF($A45="","",SUMIFS(Cuotas!$F$2:$F$601,Cuotas!$A$2:$A$601,$A45,Cuotas!$I$2:$I$601,"Pendiente"))</f>
        <v/>
      </c>
      <c r="O45" s="29">
        <f>IF($A45="","",SUMIFS(Cuotas!$G$2:$G$601,Cuotas!$A$2:$A$601,$A45,Cuotas!$I$2:$I$601,"Pagado"))</f>
        <v/>
      </c>
      <c r="P45" s="32">
        <f>IF($A45="","",IF(COUNTIFS(Cuotas!$A$2:$A$601,$A45,Cuotas!$I$2:$I$601,"Pendiente")=0,"—",_xlfn.MINIFS(Cuotas!$E$2:$E$601,Cuotas!$A$2:$A$601,$A45,Cuotas!$I$2:$I$601,"Pendiente")))</f>
        <v/>
      </c>
      <c r="Q45" s="18">
        <f>IF($A45="","",COUNTIFS(Cuotas!$A$2:$A$601,$A45,Cuotas!$I$2:$I$601,"Pagado")&amp;"/"&amp;COUNTIFS(Cuotas!$A$2:$A$601,$A45))</f>
        <v/>
      </c>
      <c r="R45" s="16">
        <f>IF($A45="","",IF(COUNTIFS(Cuotas!$A$2:$A$601,$A45,Cuotas!$I$2:$I$601,"Pendiente")=0,"Terminado",IF(P45&lt;TODAY(),"Atrasado","Al día")))</f>
        <v/>
      </c>
    </row>
    <row r="46">
      <c r="A46" s="14" t="n"/>
      <c r="B46" s="14" t="n"/>
      <c r="C46" s="14" t="n"/>
      <c r="D46" s="31" t="n"/>
      <c r="E46" s="14" t="n"/>
      <c r="F46" s="14" t="n"/>
      <c r="G46" s="14" t="n"/>
      <c r="H46" s="14" t="n"/>
      <c r="I46" s="29">
        <f>IF($A46="","",IF(E46="%",D46*F46/100,IF(E46="Fijo por mes",F46*G46,F46)))</f>
        <v/>
      </c>
      <c r="J46" s="29">
        <f>IF($A46="","",ROUNDUP(D46/G46,0))</f>
        <v/>
      </c>
      <c r="K46" s="29">
        <f>IF($A46="","",ROUNDDOWN(I46/G46,0))</f>
        <v/>
      </c>
      <c r="L46" s="29">
        <f>IF($A46="","",J46+K46)</f>
        <v/>
      </c>
      <c r="M46" s="16">
        <f>IF($A46="","",IF(E46="%",D46&amp;"*"&amp;F46&amp;"%",IF(E46="Fijo por mes",D46&amp;"cap+"&amp;F46&amp;"int/mes",D46&amp;"cap+"&amp;I46&amp;"int"))&amp;IF(G46&gt;1,IF(E46="Fijo por mes"," x ","/")&amp;G46&amp;"mes","")&amp;"  →  "&amp;J46&amp;"cap+"&amp;K46&amp;"int="&amp;L46)</f>
        <v/>
      </c>
      <c r="N46" s="29">
        <f>IF($A46="","",SUMIFS(Cuotas!$F$2:$F$601,Cuotas!$A$2:$A$601,$A46,Cuotas!$I$2:$I$601,"Pendiente"))</f>
        <v/>
      </c>
      <c r="O46" s="29">
        <f>IF($A46="","",SUMIFS(Cuotas!$G$2:$G$601,Cuotas!$A$2:$A$601,$A46,Cuotas!$I$2:$I$601,"Pagado"))</f>
        <v/>
      </c>
      <c r="P46" s="32">
        <f>IF($A46="","",IF(COUNTIFS(Cuotas!$A$2:$A$601,$A46,Cuotas!$I$2:$I$601,"Pendiente")=0,"—",_xlfn.MINIFS(Cuotas!$E$2:$E$601,Cuotas!$A$2:$A$601,$A46,Cuotas!$I$2:$I$601,"Pendiente")))</f>
        <v/>
      </c>
      <c r="Q46" s="18">
        <f>IF($A46="","",COUNTIFS(Cuotas!$A$2:$A$601,$A46,Cuotas!$I$2:$I$601,"Pagado")&amp;"/"&amp;COUNTIFS(Cuotas!$A$2:$A$601,$A46))</f>
        <v/>
      </c>
      <c r="R46" s="16">
        <f>IF($A46="","",IF(COUNTIFS(Cuotas!$A$2:$A$601,$A46,Cuotas!$I$2:$I$601,"Pendiente")=0,"Terminado",IF(P46&lt;TODAY(),"Atrasado","Al día")))</f>
        <v/>
      </c>
    </row>
    <row r="47">
      <c r="A47" s="14" t="n"/>
      <c r="B47" s="14" t="n"/>
      <c r="C47" s="14" t="n"/>
      <c r="D47" s="31" t="n"/>
      <c r="E47" s="14" t="n"/>
      <c r="F47" s="14" t="n"/>
      <c r="G47" s="14" t="n"/>
      <c r="H47" s="14" t="n"/>
      <c r="I47" s="29">
        <f>IF($A47="","",IF(E47="%",D47*F47/100,IF(E47="Fijo por mes",F47*G47,F47)))</f>
        <v/>
      </c>
      <c r="J47" s="29">
        <f>IF($A47="","",ROUNDUP(D47/G47,0))</f>
        <v/>
      </c>
      <c r="K47" s="29">
        <f>IF($A47="","",ROUNDDOWN(I47/G47,0))</f>
        <v/>
      </c>
      <c r="L47" s="29">
        <f>IF($A47="","",J47+K47)</f>
        <v/>
      </c>
      <c r="M47" s="16">
        <f>IF($A47="","",IF(E47="%",D47&amp;"*"&amp;F47&amp;"%",IF(E47="Fijo por mes",D47&amp;"cap+"&amp;F47&amp;"int/mes",D47&amp;"cap+"&amp;I47&amp;"int"))&amp;IF(G47&gt;1,IF(E47="Fijo por mes"," x ","/")&amp;G47&amp;"mes","")&amp;"  →  "&amp;J47&amp;"cap+"&amp;K47&amp;"int="&amp;L47)</f>
        <v/>
      </c>
      <c r="N47" s="29">
        <f>IF($A47="","",SUMIFS(Cuotas!$F$2:$F$601,Cuotas!$A$2:$A$601,$A47,Cuotas!$I$2:$I$601,"Pendiente"))</f>
        <v/>
      </c>
      <c r="O47" s="29">
        <f>IF($A47="","",SUMIFS(Cuotas!$G$2:$G$601,Cuotas!$A$2:$A$601,$A47,Cuotas!$I$2:$I$601,"Pagado"))</f>
        <v/>
      </c>
      <c r="P47" s="32">
        <f>IF($A47="","",IF(COUNTIFS(Cuotas!$A$2:$A$601,$A47,Cuotas!$I$2:$I$601,"Pendiente")=0,"—",_xlfn.MINIFS(Cuotas!$E$2:$E$601,Cuotas!$A$2:$A$601,$A47,Cuotas!$I$2:$I$601,"Pendiente")))</f>
        <v/>
      </c>
      <c r="Q47" s="18">
        <f>IF($A47="","",COUNTIFS(Cuotas!$A$2:$A$601,$A47,Cuotas!$I$2:$I$601,"Pagado")&amp;"/"&amp;COUNTIFS(Cuotas!$A$2:$A$601,$A47))</f>
        <v/>
      </c>
      <c r="R47" s="16">
        <f>IF($A47="","",IF(COUNTIFS(Cuotas!$A$2:$A$601,$A47,Cuotas!$I$2:$I$601,"Pendiente")=0,"Terminado",IF(P47&lt;TODAY(),"Atrasado","Al día")))</f>
        <v/>
      </c>
    </row>
    <row r="48">
      <c r="A48" s="14" t="n"/>
      <c r="B48" s="14" t="n"/>
      <c r="C48" s="14" t="n"/>
      <c r="D48" s="31" t="n"/>
      <c r="E48" s="14" t="n"/>
      <c r="F48" s="14" t="n"/>
      <c r="G48" s="14" t="n"/>
      <c r="H48" s="14" t="n"/>
      <c r="I48" s="29">
        <f>IF($A48="","",IF(E48="%",D48*F48/100,IF(E48="Fijo por mes",F48*G48,F48)))</f>
        <v/>
      </c>
      <c r="J48" s="29">
        <f>IF($A48="","",ROUNDUP(D48/G48,0))</f>
        <v/>
      </c>
      <c r="K48" s="29">
        <f>IF($A48="","",ROUNDDOWN(I48/G48,0))</f>
        <v/>
      </c>
      <c r="L48" s="29">
        <f>IF($A48="","",J48+K48)</f>
        <v/>
      </c>
      <c r="M48" s="16">
        <f>IF($A48="","",IF(E48="%",D48&amp;"*"&amp;F48&amp;"%",IF(E48="Fijo por mes",D48&amp;"cap+"&amp;F48&amp;"int/mes",D48&amp;"cap+"&amp;I48&amp;"int"))&amp;IF(G48&gt;1,IF(E48="Fijo por mes"," x ","/")&amp;G48&amp;"mes","")&amp;"  →  "&amp;J48&amp;"cap+"&amp;K48&amp;"int="&amp;L48)</f>
        <v/>
      </c>
      <c r="N48" s="29">
        <f>IF($A48="","",SUMIFS(Cuotas!$F$2:$F$601,Cuotas!$A$2:$A$601,$A48,Cuotas!$I$2:$I$601,"Pendiente"))</f>
        <v/>
      </c>
      <c r="O48" s="29">
        <f>IF($A48="","",SUMIFS(Cuotas!$G$2:$G$601,Cuotas!$A$2:$A$601,$A48,Cuotas!$I$2:$I$601,"Pagado"))</f>
        <v/>
      </c>
      <c r="P48" s="32">
        <f>IF($A48="","",IF(COUNTIFS(Cuotas!$A$2:$A$601,$A48,Cuotas!$I$2:$I$601,"Pendiente")=0,"—",_xlfn.MINIFS(Cuotas!$E$2:$E$601,Cuotas!$A$2:$A$601,$A48,Cuotas!$I$2:$I$601,"Pendiente")))</f>
        <v/>
      </c>
      <c r="Q48" s="18">
        <f>IF($A48="","",COUNTIFS(Cuotas!$A$2:$A$601,$A48,Cuotas!$I$2:$I$601,"Pagado")&amp;"/"&amp;COUNTIFS(Cuotas!$A$2:$A$601,$A48))</f>
        <v/>
      </c>
      <c r="R48" s="16">
        <f>IF($A48="","",IF(COUNTIFS(Cuotas!$A$2:$A$601,$A48,Cuotas!$I$2:$I$601,"Pendiente")=0,"Terminado",IF(P48&lt;TODAY(),"Atrasado","Al día")))</f>
        <v/>
      </c>
    </row>
    <row r="49">
      <c r="A49" s="14" t="n"/>
      <c r="B49" s="14" t="n"/>
      <c r="C49" s="14" t="n"/>
      <c r="D49" s="31" t="n"/>
      <c r="E49" s="14" t="n"/>
      <c r="F49" s="14" t="n"/>
      <c r="G49" s="14" t="n"/>
      <c r="H49" s="14" t="n"/>
      <c r="I49" s="29">
        <f>IF($A49="","",IF(E49="%",D49*F49/100,IF(E49="Fijo por mes",F49*G49,F49)))</f>
        <v/>
      </c>
      <c r="J49" s="29">
        <f>IF($A49="","",ROUNDUP(D49/G49,0))</f>
        <v/>
      </c>
      <c r="K49" s="29">
        <f>IF($A49="","",ROUNDDOWN(I49/G49,0))</f>
        <v/>
      </c>
      <c r="L49" s="29">
        <f>IF($A49="","",J49+K49)</f>
        <v/>
      </c>
      <c r="M49" s="16">
        <f>IF($A49="","",IF(E49="%",D49&amp;"*"&amp;F49&amp;"%",IF(E49="Fijo por mes",D49&amp;"cap+"&amp;F49&amp;"int/mes",D49&amp;"cap+"&amp;I49&amp;"int"))&amp;IF(G49&gt;1,IF(E49="Fijo por mes"," x ","/")&amp;G49&amp;"mes","")&amp;"  →  "&amp;J49&amp;"cap+"&amp;K49&amp;"int="&amp;L49)</f>
        <v/>
      </c>
      <c r="N49" s="29">
        <f>IF($A49="","",SUMIFS(Cuotas!$F$2:$F$601,Cuotas!$A$2:$A$601,$A49,Cuotas!$I$2:$I$601,"Pendiente"))</f>
        <v/>
      </c>
      <c r="O49" s="29">
        <f>IF($A49="","",SUMIFS(Cuotas!$G$2:$G$601,Cuotas!$A$2:$A$601,$A49,Cuotas!$I$2:$I$601,"Pagado"))</f>
        <v/>
      </c>
      <c r="P49" s="32">
        <f>IF($A49="","",IF(COUNTIFS(Cuotas!$A$2:$A$601,$A49,Cuotas!$I$2:$I$601,"Pendiente")=0,"—",_xlfn.MINIFS(Cuotas!$E$2:$E$601,Cuotas!$A$2:$A$601,$A49,Cuotas!$I$2:$I$601,"Pendiente")))</f>
        <v/>
      </c>
      <c r="Q49" s="18">
        <f>IF($A49="","",COUNTIFS(Cuotas!$A$2:$A$601,$A49,Cuotas!$I$2:$I$601,"Pagado")&amp;"/"&amp;COUNTIFS(Cuotas!$A$2:$A$601,$A49))</f>
        <v/>
      </c>
      <c r="R49" s="16">
        <f>IF($A49="","",IF(COUNTIFS(Cuotas!$A$2:$A$601,$A49,Cuotas!$I$2:$I$601,"Pendiente")=0,"Terminado",IF(P49&lt;TODAY(),"Atrasado","Al día")))</f>
        <v/>
      </c>
    </row>
    <row r="50">
      <c r="A50" s="14" t="n"/>
      <c r="B50" s="14" t="n"/>
      <c r="C50" s="14" t="n"/>
      <c r="D50" s="31" t="n"/>
      <c r="E50" s="14" t="n"/>
      <c r="F50" s="14" t="n"/>
      <c r="G50" s="14" t="n"/>
      <c r="H50" s="14" t="n"/>
      <c r="I50" s="29">
        <f>IF($A50="","",IF(E50="%",D50*F50/100,IF(E50="Fijo por mes",F50*G50,F50)))</f>
        <v/>
      </c>
      <c r="J50" s="29">
        <f>IF($A50="","",ROUNDUP(D50/G50,0))</f>
        <v/>
      </c>
      <c r="K50" s="29">
        <f>IF($A50="","",ROUNDDOWN(I50/G50,0))</f>
        <v/>
      </c>
      <c r="L50" s="29">
        <f>IF($A50="","",J50+K50)</f>
        <v/>
      </c>
      <c r="M50" s="16">
        <f>IF($A50="","",IF(E50="%",D50&amp;"*"&amp;F50&amp;"%",IF(E50="Fijo por mes",D50&amp;"cap+"&amp;F50&amp;"int/mes",D50&amp;"cap+"&amp;I50&amp;"int"))&amp;IF(G50&gt;1,IF(E50="Fijo por mes"," x ","/")&amp;G50&amp;"mes","")&amp;"  →  "&amp;J50&amp;"cap+"&amp;K50&amp;"int="&amp;L50)</f>
        <v/>
      </c>
      <c r="N50" s="29">
        <f>IF($A50="","",SUMIFS(Cuotas!$F$2:$F$601,Cuotas!$A$2:$A$601,$A50,Cuotas!$I$2:$I$601,"Pendiente"))</f>
        <v/>
      </c>
      <c r="O50" s="29">
        <f>IF($A50="","",SUMIFS(Cuotas!$G$2:$G$601,Cuotas!$A$2:$A$601,$A50,Cuotas!$I$2:$I$601,"Pagado"))</f>
        <v/>
      </c>
      <c r="P50" s="32">
        <f>IF($A50="","",IF(COUNTIFS(Cuotas!$A$2:$A$601,$A50,Cuotas!$I$2:$I$601,"Pendiente")=0,"—",_xlfn.MINIFS(Cuotas!$E$2:$E$601,Cuotas!$A$2:$A$601,$A50,Cuotas!$I$2:$I$601,"Pendiente")))</f>
        <v/>
      </c>
      <c r="Q50" s="18">
        <f>IF($A50="","",COUNTIFS(Cuotas!$A$2:$A$601,$A50,Cuotas!$I$2:$I$601,"Pagado")&amp;"/"&amp;COUNTIFS(Cuotas!$A$2:$A$601,$A50))</f>
        <v/>
      </c>
      <c r="R50" s="16">
        <f>IF($A50="","",IF(COUNTIFS(Cuotas!$A$2:$A$601,$A50,Cuotas!$I$2:$I$601,"Pendiente")=0,"Terminado",IF(P50&lt;TODAY(),"Atrasado","Al día")))</f>
        <v/>
      </c>
    </row>
    <row r="51">
      <c r="A51" s="14" t="n"/>
      <c r="B51" s="14" t="n"/>
      <c r="C51" s="14" t="n"/>
      <c r="D51" s="31" t="n"/>
      <c r="E51" s="14" t="n"/>
      <c r="F51" s="14" t="n"/>
      <c r="G51" s="14" t="n"/>
      <c r="H51" s="14" t="n"/>
      <c r="I51" s="29">
        <f>IF($A51="","",IF(E51="%",D51*F51/100,IF(E51="Fijo por mes",F51*G51,F51)))</f>
        <v/>
      </c>
      <c r="J51" s="29">
        <f>IF($A51="","",ROUNDUP(D51/G51,0))</f>
        <v/>
      </c>
      <c r="K51" s="29">
        <f>IF($A51="","",ROUNDDOWN(I51/G51,0))</f>
        <v/>
      </c>
      <c r="L51" s="29">
        <f>IF($A51="","",J51+K51)</f>
        <v/>
      </c>
      <c r="M51" s="16">
        <f>IF($A51="","",IF(E51="%",D51&amp;"*"&amp;F51&amp;"%",IF(E51="Fijo por mes",D51&amp;"cap+"&amp;F51&amp;"int/mes",D51&amp;"cap+"&amp;I51&amp;"int"))&amp;IF(G51&gt;1,IF(E51="Fijo por mes"," x ","/")&amp;G51&amp;"mes","")&amp;"  →  "&amp;J51&amp;"cap+"&amp;K51&amp;"int="&amp;L51)</f>
        <v/>
      </c>
      <c r="N51" s="29">
        <f>IF($A51="","",SUMIFS(Cuotas!$F$2:$F$601,Cuotas!$A$2:$A$601,$A51,Cuotas!$I$2:$I$601,"Pendiente"))</f>
        <v/>
      </c>
      <c r="O51" s="29">
        <f>IF($A51="","",SUMIFS(Cuotas!$G$2:$G$601,Cuotas!$A$2:$A$601,$A51,Cuotas!$I$2:$I$601,"Pagado"))</f>
        <v/>
      </c>
      <c r="P51" s="32">
        <f>IF($A51="","",IF(COUNTIFS(Cuotas!$A$2:$A$601,$A51,Cuotas!$I$2:$I$601,"Pendiente")=0,"—",_xlfn.MINIFS(Cuotas!$E$2:$E$601,Cuotas!$A$2:$A$601,$A51,Cuotas!$I$2:$I$601,"Pendiente")))</f>
        <v/>
      </c>
      <c r="Q51" s="18">
        <f>IF($A51="","",COUNTIFS(Cuotas!$A$2:$A$601,$A51,Cuotas!$I$2:$I$601,"Pagado")&amp;"/"&amp;COUNTIFS(Cuotas!$A$2:$A$601,$A51))</f>
        <v/>
      </c>
      <c r="R51" s="16">
        <f>IF($A51="","",IF(COUNTIFS(Cuotas!$A$2:$A$601,$A51,Cuotas!$I$2:$I$601,"Pendiente")=0,"Terminado",IF(P51&lt;TODAY(),"Atrasado","Al día")))</f>
        <v/>
      </c>
    </row>
    <row r="52">
      <c r="A52" s="14" t="n"/>
      <c r="B52" s="14" t="n"/>
      <c r="C52" s="14" t="n"/>
      <c r="D52" s="31" t="n"/>
      <c r="E52" s="14" t="n"/>
      <c r="F52" s="14" t="n"/>
      <c r="G52" s="14" t="n"/>
      <c r="H52" s="14" t="n"/>
      <c r="I52" s="29">
        <f>IF($A52="","",IF(E52="%",D52*F52/100,IF(E52="Fijo por mes",F52*G52,F52)))</f>
        <v/>
      </c>
      <c r="J52" s="29">
        <f>IF($A52="","",ROUNDUP(D52/G52,0))</f>
        <v/>
      </c>
      <c r="K52" s="29">
        <f>IF($A52="","",ROUNDDOWN(I52/G52,0))</f>
        <v/>
      </c>
      <c r="L52" s="29">
        <f>IF($A52="","",J52+K52)</f>
        <v/>
      </c>
      <c r="M52" s="16">
        <f>IF($A52="","",IF(E52="%",D52&amp;"*"&amp;F52&amp;"%",IF(E52="Fijo por mes",D52&amp;"cap+"&amp;F52&amp;"int/mes",D52&amp;"cap+"&amp;I52&amp;"int"))&amp;IF(G52&gt;1,IF(E52="Fijo por mes"," x ","/")&amp;G52&amp;"mes","")&amp;"  →  "&amp;J52&amp;"cap+"&amp;K52&amp;"int="&amp;L52)</f>
        <v/>
      </c>
      <c r="N52" s="29">
        <f>IF($A52="","",SUMIFS(Cuotas!$F$2:$F$601,Cuotas!$A$2:$A$601,$A52,Cuotas!$I$2:$I$601,"Pendiente"))</f>
        <v/>
      </c>
      <c r="O52" s="29">
        <f>IF($A52="","",SUMIFS(Cuotas!$G$2:$G$601,Cuotas!$A$2:$A$601,$A52,Cuotas!$I$2:$I$601,"Pagado"))</f>
        <v/>
      </c>
      <c r="P52" s="32">
        <f>IF($A52="","",IF(COUNTIFS(Cuotas!$A$2:$A$601,$A52,Cuotas!$I$2:$I$601,"Pendiente")=0,"—",_xlfn.MINIFS(Cuotas!$E$2:$E$601,Cuotas!$A$2:$A$601,$A52,Cuotas!$I$2:$I$601,"Pendiente")))</f>
        <v/>
      </c>
      <c r="Q52" s="18">
        <f>IF($A52="","",COUNTIFS(Cuotas!$A$2:$A$601,$A52,Cuotas!$I$2:$I$601,"Pagado")&amp;"/"&amp;COUNTIFS(Cuotas!$A$2:$A$601,$A52))</f>
        <v/>
      </c>
      <c r="R52" s="16">
        <f>IF($A52="","",IF(COUNTIFS(Cuotas!$A$2:$A$601,$A52,Cuotas!$I$2:$I$601,"Pendiente")=0,"Terminado",IF(P52&lt;TODAY(),"Atrasado","Al día")))</f>
        <v/>
      </c>
    </row>
    <row r="53">
      <c r="A53" s="14" t="n"/>
      <c r="B53" s="14" t="n"/>
      <c r="C53" s="14" t="n"/>
      <c r="D53" s="31" t="n"/>
      <c r="E53" s="14" t="n"/>
      <c r="F53" s="14" t="n"/>
      <c r="G53" s="14" t="n"/>
      <c r="H53" s="14" t="n"/>
      <c r="I53" s="29">
        <f>IF($A53="","",IF(E53="%",D53*F53/100,IF(E53="Fijo por mes",F53*G53,F53)))</f>
        <v/>
      </c>
      <c r="J53" s="29">
        <f>IF($A53="","",ROUNDUP(D53/G53,0))</f>
        <v/>
      </c>
      <c r="K53" s="29">
        <f>IF($A53="","",ROUNDDOWN(I53/G53,0))</f>
        <v/>
      </c>
      <c r="L53" s="29">
        <f>IF($A53="","",J53+K53)</f>
        <v/>
      </c>
      <c r="M53" s="16">
        <f>IF($A53="","",IF(E53="%",D53&amp;"*"&amp;F53&amp;"%",IF(E53="Fijo por mes",D53&amp;"cap+"&amp;F53&amp;"int/mes",D53&amp;"cap+"&amp;I53&amp;"int"))&amp;IF(G53&gt;1,IF(E53="Fijo por mes"," x ","/")&amp;G53&amp;"mes","")&amp;"  →  "&amp;J53&amp;"cap+"&amp;K53&amp;"int="&amp;L53)</f>
        <v/>
      </c>
      <c r="N53" s="29">
        <f>IF($A53="","",SUMIFS(Cuotas!$F$2:$F$601,Cuotas!$A$2:$A$601,$A53,Cuotas!$I$2:$I$601,"Pendiente"))</f>
        <v/>
      </c>
      <c r="O53" s="29">
        <f>IF($A53="","",SUMIFS(Cuotas!$G$2:$G$601,Cuotas!$A$2:$A$601,$A53,Cuotas!$I$2:$I$601,"Pagado"))</f>
        <v/>
      </c>
      <c r="P53" s="32">
        <f>IF($A53="","",IF(COUNTIFS(Cuotas!$A$2:$A$601,$A53,Cuotas!$I$2:$I$601,"Pendiente")=0,"—",_xlfn.MINIFS(Cuotas!$E$2:$E$601,Cuotas!$A$2:$A$601,$A53,Cuotas!$I$2:$I$601,"Pendiente")))</f>
        <v/>
      </c>
      <c r="Q53" s="18">
        <f>IF($A53="","",COUNTIFS(Cuotas!$A$2:$A$601,$A53,Cuotas!$I$2:$I$601,"Pagado")&amp;"/"&amp;COUNTIFS(Cuotas!$A$2:$A$601,$A53))</f>
        <v/>
      </c>
      <c r="R53" s="16">
        <f>IF($A53="","",IF(COUNTIFS(Cuotas!$A$2:$A$601,$A53,Cuotas!$I$2:$I$601,"Pendiente")=0,"Terminado",IF(P53&lt;TODAY(),"Atrasado","Al día")))</f>
        <v/>
      </c>
    </row>
    <row r="54">
      <c r="A54" s="14" t="n"/>
      <c r="B54" s="14" t="n"/>
      <c r="C54" s="14" t="n"/>
      <c r="D54" s="31" t="n"/>
      <c r="E54" s="14" t="n"/>
      <c r="F54" s="14" t="n"/>
      <c r="G54" s="14" t="n"/>
      <c r="H54" s="14" t="n"/>
      <c r="I54" s="29">
        <f>IF($A54="","",IF(E54="%",D54*F54/100,IF(E54="Fijo por mes",F54*G54,F54)))</f>
        <v/>
      </c>
      <c r="J54" s="29">
        <f>IF($A54="","",ROUNDUP(D54/G54,0))</f>
        <v/>
      </c>
      <c r="K54" s="29">
        <f>IF($A54="","",ROUNDDOWN(I54/G54,0))</f>
        <v/>
      </c>
      <c r="L54" s="29">
        <f>IF($A54="","",J54+K54)</f>
        <v/>
      </c>
      <c r="M54" s="16">
        <f>IF($A54="","",IF(E54="%",D54&amp;"*"&amp;F54&amp;"%",IF(E54="Fijo por mes",D54&amp;"cap+"&amp;F54&amp;"int/mes",D54&amp;"cap+"&amp;I54&amp;"int"))&amp;IF(G54&gt;1,IF(E54="Fijo por mes"," x ","/")&amp;G54&amp;"mes","")&amp;"  →  "&amp;J54&amp;"cap+"&amp;K54&amp;"int="&amp;L54)</f>
        <v/>
      </c>
      <c r="N54" s="29">
        <f>IF($A54="","",SUMIFS(Cuotas!$F$2:$F$601,Cuotas!$A$2:$A$601,$A54,Cuotas!$I$2:$I$601,"Pendiente"))</f>
        <v/>
      </c>
      <c r="O54" s="29">
        <f>IF($A54="","",SUMIFS(Cuotas!$G$2:$G$601,Cuotas!$A$2:$A$601,$A54,Cuotas!$I$2:$I$601,"Pagado"))</f>
        <v/>
      </c>
      <c r="P54" s="32">
        <f>IF($A54="","",IF(COUNTIFS(Cuotas!$A$2:$A$601,$A54,Cuotas!$I$2:$I$601,"Pendiente")=0,"—",_xlfn.MINIFS(Cuotas!$E$2:$E$601,Cuotas!$A$2:$A$601,$A54,Cuotas!$I$2:$I$601,"Pendiente")))</f>
        <v/>
      </c>
      <c r="Q54" s="18">
        <f>IF($A54="","",COUNTIFS(Cuotas!$A$2:$A$601,$A54,Cuotas!$I$2:$I$601,"Pagado")&amp;"/"&amp;COUNTIFS(Cuotas!$A$2:$A$601,$A54))</f>
        <v/>
      </c>
      <c r="R54" s="16">
        <f>IF($A54="","",IF(COUNTIFS(Cuotas!$A$2:$A$601,$A54,Cuotas!$I$2:$I$601,"Pendiente")=0,"Terminado",IF(P54&lt;TODAY(),"Atrasado","Al día")))</f>
        <v/>
      </c>
    </row>
    <row r="55">
      <c r="A55" s="14" t="n"/>
      <c r="B55" s="14" t="n"/>
      <c r="C55" s="14" t="n"/>
      <c r="D55" s="31" t="n"/>
      <c r="E55" s="14" t="n"/>
      <c r="F55" s="14" t="n"/>
      <c r="G55" s="14" t="n"/>
      <c r="H55" s="14" t="n"/>
      <c r="I55" s="29">
        <f>IF($A55="","",IF(E55="%",D55*F55/100,IF(E55="Fijo por mes",F55*G55,F55)))</f>
        <v/>
      </c>
      <c r="J55" s="29">
        <f>IF($A55="","",ROUNDUP(D55/G55,0))</f>
        <v/>
      </c>
      <c r="K55" s="29">
        <f>IF($A55="","",ROUNDDOWN(I55/G55,0))</f>
        <v/>
      </c>
      <c r="L55" s="29">
        <f>IF($A55="","",J55+K55)</f>
        <v/>
      </c>
      <c r="M55" s="16">
        <f>IF($A55="","",IF(E55="%",D55&amp;"*"&amp;F55&amp;"%",IF(E55="Fijo por mes",D55&amp;"cap+"&amp;F55&amp;"int/mes",D55&amp;"cap+"&amp;I55&amp;"int"))&amp;IF(G55&gt;1,IF(E55="Fijo por mes"," x ","/")&amp;G55&amp;"mes","")&amp;"  →  "&amp;J55&amp;"cap+"&amp;K55&amp;"int="&amp;L55)</f>
        <v/>
      </c>
      <c r="N55" s="29">
        <f>IF($A55="","",SUMIFS(Cuotas!$F$2:$F$601,Cuotas!$A$2:$A$601,$A55,Cuotas!$I$2:$I$601,"Pendiente"))</f>
        <v/>
      </c>
      <c r="O55" s="29">
        <f>IF($A55="","",SUMIFS(Cuotas!$G$2:$G$601,Cuotas!$A$2:$A$601,$A55,Cuotas!$I$2:$I$601,"Pagado"))</f>
        <v/>
      </c>
      <c r="P55" s="32">
        <f>IF($A55="","",IF(COUNTIFS(Cuotas!$A$2:$A$601,$A55,Cuotas!$I$2:$I$601,"Pendiente")=0,"—",_xlfn.MINIFS(Cuotas!$E$2:$E$601,Cuotas!$A$2:$A$601,$A55,Cuotas!$I$2:$I$601,"Pendiente")))</f>
        <v/>
      </c>
      <c r="Q55" s="18">
        <f>IF($A55="","",COUNTIFS(Cuotas!$A$2:$A$601,$A55,Cuotas!$I$2:$I$601,"Pagado")&amp;"/"&amp;COUNTIFS(Cuotas!$A$2:$A$601,$A55))</f>
        <v/>
      </c>
      <c r="R55" s="16">
        <f>IF($A55="","",IF(COUNTIFS(Cuotas!$A$2:$A$601,$A55,Cuotas!$I$2:$I$601,"Pendiente")=0,"Terminado",IF(P55&lt;TODAY(),"Atrasado","Al día")))</f>
        <v/>
      </c>
    </row>
    <row r="56">
      <c r="A56" s="14" t="n"/>
      <c r="B56" s="14" t="n"/>
      <c r="C56" s="14" t="n"/>
      <c r="D56" s="31" t="n"/>
      <c r="E56" s="14" t="n"/>
      <c r="F56" s="14" t="n"/>
      <c r="G56" s="14" t="n"/>
      <c r="H56" s="14" t="n"/>
      <c r="I56" s="29">
        <f>IF($A56="","",IF(E56="%",D56*F56/100,IF(E56="Fijo por mes",F56*G56,F56)))</f>
        <v/>
      </c>
      <c r="J56" s="29">
        <f>IF($A56="","",ROUNDUP(D56/G56,0))</f>
        <v/>
      </c>
      <c r="K56" s="29">
        <f>IF($A56="","",ROUNDDOWN(I56/G56,0))</f>
        <v/>
      </c>
      <c r="L56" s="29">
        <f>IF($A56="","",J56+K56)</f>
        <v/>
      </c>
      <c r="M56" s="16">
        <f>IF($A56="","",IF(E56="%",D56&amp;"*"&amp;F56&amp;"%",IF(E56="Fijo por mes",D56&amp;"cap+"&amp;F56&amp;"int/mes",D56&amp;"cap+"&amp;I56&amp;"int"))&amp;IF(G56&gt;1,IF(E56="Fijo por mes"," x ","/")&amp;G56&amp;"mes","")&amp;"  →  "&amp;J56&amp;"cap+"&amp;K56&amp;"int="&amp;L56)</f>
        <v/>
      </c>
      <c r="N56" s="29">
        <f>IF($A56="","",SUMIFS(Cuotas!$F$2:$F$601,Cuotas!$A$2:$A$601,$A56,Cuotas!$I$2:$I$601,"Pendiente"))</f>
        <v/>
      </c>
      <c r="O56" s="29">
        <f>IF($A56="","",SUMIFS(Cuotas!$G$2:$G$601,Cuotas!$A$2:$A$601,$A56,Cuotas!$I$2:$I$601,"Pagado"))</f>
        <v/>
      </c>
      <c r="P56" s="32">
        <f>IF($A56="","",IF(COUNTIFS(Cuotas!$A$2:$A$601,$A56,Cuotas!$I$2:$I$601,"Pendiente")=0,"—",_xlfn.MINIFS(Cuotas!$E$2:$E$601,Cuotas!$A$2:$A$601,$A56,Cuotas!$I$2:$I$601,"Pendiente")))</f>
        <v/>
      </c>
      <c r="Q56" s="18">
        <f>IF($A56="","",COUNTIFS(Cuotas!$A$2:$A$601,$A56,Cuotas!$I$2:$I$601,"Pagado")&amp;"/"&amp;COUNTIFS(Cuotas!$A$2:$A$601,$A56))</f>
        <v/>
      </c>
      <c r="R56" s="16">
        <f>IF($A56="","",IF(COUNTIFS(Cuotas!$A$2:$A$601,$A56,Cuotas!$I$2:$I$601,"Pendiente")=0,"Terminado",IF(P56&lt;TODAY(),"Atrasado","Al día")))</f>
        <v/>
      </c>
    </row>
    <row r="57">
      <c r="A57" s="14" t="n"/>
      <c r="B57" s="14" t="n"/>
      <c r="C57" s="14" t="n"/>
      <c r="D57" s="31" t="n"/>
      <c r="E57" s="14" t="n"/>
      <c r="F57" s="14" t="n"/>
      <c r="G57" s="14" t="n"/>
      <c r="H57" s="14" t="n"/>
      <c r="I57" s="29">
        <f>IF($A57="","",IF(E57="%",D57*F57/100,IF(E57="Fijo por mes",F57*G57,F57)))</f>
        <v/>
      </c>
      <c r="J57" s="29">
        <f>IF($A57="","",ROUNDUP(D57/G57,0))</f>
        <v/>
      </c>
      <c r="K57" s="29">
        <f>IF($A57="","",ROUNDDOWN(I57/G57,0))</f>
        <v/>
      </c>
      <c r="L57" s="29">
        <f>IF($A57="","",J57+K57)</f>
        <v/>
      </c>
      <c r="M57" s="16">
        <f>IF($A57="","",IF(E57="%",D57&amp;"*"&amp;F57&amp;"%",IF(E57="Fijo por mes",D57&amp;"cap+"&amp;F57&amp;"int/mes",D57&amp;"cap+"&amp;I57&amp;"int"))&amp;IF(G57&gt;1,IF(E57="Fijo por mes"," x ","/")&amp;G57&amp;"mes","")&amp;"  →  "&amp;J57&amp;"cap+"&amp;K57&amp;"int="&amp;L57)</f>
        <v/>
      </c>
      <c r="N57" s="29">
        <f>IF($A57="","",SUMIFS(Cuotas!$F$2:$F$601,Cuotas!$A$2:$A$601,$A57,Cuotas!$I$2:$I$601,"Pendiente"))</f>
        <v/>
      </c>
      <c r="O57" s="29">
        <f>IF($A57="","",SUMIFS(Cuotas!$G$2:$G$601,Cuotas!$A$2:$A$601,$A57,Cuotas!$I$2:$I$601,"Pagado"))</f>
        <v/>
      </c>
      <c r="P57" s="32">
        <f>IF($A57="","",IF(COUNTIFS(Cuotas!$A$2:$A$601,$A57,Cuotas!$I$2:$I$601,"Pendiente")=0,"—",_xlfn.MINIFS(Cuotas!$E$2:$E$601,Cuotas!$A$2:$A$601,$A57,Cuotas!$I$2:$I$601,"Pendiente")))</f>
        <v/>
      </c>
      <c r="Q57" s="18">
        <f>IF($A57="","",COUNTIFS(Cuotas!$A$2:$A$601,$A57,Cuotas!$I$2:$I$601,"Pagado")&amp;"/"&amp;COUNTIFS(Cuotas!$A$2:$A$601,$A57))</f>
        <v/>
      </c>
      <c r="R57" s="16">
        <f>IF($A57="","",IF(COUNTIFS(Cuotas!$A$2:$A$601,$A57,Cuotas!$I$2:$I$601,"Pendiente")=0,"Terminado",IF(P57&lt;TODAY(),"Atrasado","Al día")))</f>
        <v/>
      </c>
    </row>
    <row r="58">
      <c r="A58" s="14" t="n"/>
      <c r="B58" s="14" t="n"/>
      <c r="C58" s="14" t="n"/>
      <c r="D58" s="31" t="n"/>
      <c r="E58" s="14" t="n"/>
      <c r="F58" s="14" t="n"/>
      <c r="G58" s="14" t="n"/>
      <c r="H58" s="14" t="n"/>
      <c r="I58" s="29">
        <f>IF($A58="","",IF(E58="%",D58*F58/100,IF(E58="Fijo por mes",F58*G58,F58)))</f>
        <v/>
      </c>
      <c r="J58" s="29">
        <f>IF($A58="","",ROUNDUP(D58/G58,0))</f>
        <v/>
      </c>
      <c r="K58" s="29">
        <f>IF($A58="","",ROUNDDOWN(I58/G58,0))</f>
        <v/>
      </c>
      <c r="L58" s="29">
        <f>IF($A58="","",J58+K58)</f>
        <v/>
      </c>
      <c r="M58" s="16">
        <f>IF($A58="","",IF(E58="%",D58&amp;"*"&amp;F58&amp;"%",IF(E58="Fijo por mes",D58&amp;"cap+"&amp;F58&amp;"int/mes",D58&amp;"cap+"&amp;I58&amp;"int"))&amp;IF(G58&gt;1,IF(E58="Fijo por mes"," x ","/")&amp;G58&amp;"mes","")&amp;"  →  "&amp;J58&amp;"cap+"&amp;K58&amp;"int="&amp;L58)</f>
        <v/>
      </c>
      <c r="N58" s="29">
        <f>IF($A58="","",SUMIFS(Cuotas!$F$2:$F$601,Cuotas!$A$2:$A$601,$A58,Cuotas!$I$2:$I$601,"Pendiente"))</f>
        <v/>
      </c>
      <c r="O58" s="29">
        <f>IF($A58="","",SUMIFS(Cuotas!$G$2:$G$601,Cuotas!$A$2:$A$601,$A58,Cuotas!$I$2:$I$601,"Pagado"))</f>
        <v/>
      </c>
      <c r="P58" s="32">
        <f>IF($A58="","",IF(COUNTIFS(Cuotas!$A$2:$A$601,$A58,Cuotas!$I$2:$I$601,"Pendiente")=0,"—",_xlfn.MINIFS(Cuotas!$E$2:$E$601,Cuotas!$A$2:$A$601,$A58,Cuotas!$I$2:$I$601,"Pendiente")))</f>
        <v/>
      </c>
      <c r="Q58" s="18">
        <f>IF($A58="","",COUNTIFS(Cuotas!$A$2:$A$601,$A58,Cuotas!$I$2:$I$601,"Pagado")&amp;"/"&amp;COUNTIFS(Cuotas!$A$2:$A$601,$A58))</f>
        <v/>
      </c>
      <c r="R58" s="16">
        <f>IF($A58="","",IF(COUNTIFS(Cuotas!$A$2:$A$601,$A58,Cuotas!$I$2:$I$601,"Pendiente")=0,"Terminado",IF(P58&lt;TODAY(),"Atrasado","Al día")))</f>
        <v/>
      </c>
    </row>
    <row r="59">
      <c r="A59" s="14" t="n"/>
      <c r="B59" s="14" t="n"/>
      <c r="C59" s="14" t="n"/>
      <c r="D59" s="31" t="n"/>
      <c r="E59" s="14" t="n"/>
      <c r="F59" s="14" t="n"/>
      <c r="G59" s="14" t="n"/>
      <c r="H59" s="14" t="n"/>
      <c r="I59" s="29">
        <f>IF($A59="","",IF(E59="%",D59*F59/100,IF(E59="Fijo por mes",F59*G59,F59)))</f>
        <v/>
      </c>
      <c r="J59" s="29">
        <f>IF($A59="","",ROUNDUP(D59/G59,0))</f>
        <v/>
      </c>
      <c r="K59" s="29">
        <f>IF($A59="","",ROUNDDOWN(I59/G59,0))</f>
        <v/>
      </c>
      <c r="L59" s="29">
        <f>IF($A59="","",J59+K59)</f>
        <v/>
      </c>
      <c r="M59" s="16">
        <f>IF($A59="","",IF(E59="%",D59&amp;"*"&amp;F59&amp;"%",IF(E59="Fijo por mes",D59&amp;"cap+"&amp;F59&amp;"int/mes",D59&amp;"cap+"&amp;I59&amp;"int"))&amp;IF(G59&gt;1,IF(E59="Fijo por mes"," x ","/")&amp;G59&amp;"mes","")&amp;"  →  "&amp;J59&amp;"cap+"&amp;K59&amp;"int="&amp;L59)</f>
        <v/>
      </c>
      <c r="N59" s="29">
        <f>IF($A59="","",SUMIFS(Cuotas!$F$2:$F$601,Cuotas!$A$2:$A$601,$A59,Cuotas!$I$2:$I$601,"Pendiente"))</f>
        <v/>
      </c>
      <c r="O59" s="29">
        <f>IF($A59="","",SUMIFS(Cuotas!$G$2:$G$601,Cuotas!$A$2:$A$601,$A59,Cuotas!$I$2:$I$601,"Pagado"))</f>
        <v/>
      </c>
      <c r="P59" s="32">
        <f>IF($A59="","",IF(COUNTIFS(Cuotas!$A$2:$A$601,$A59,Cuotas!$I$2:$I$601,"Pendiente")=0,"—",_xlfn.MINIFS(Cuotas!$E$2:$E$601,Cuotas!$A$2:$A$601,$A59,Cuotas!$I$2:$I$601,"Pendiente")))</f>
        <v/>
      </c>
      <c r="Q59" s="18">
        <f>IF($A59="","",COUNTIFS(Cuotas!$A$2:$A$601,$A59,Cuotas!$I$2:$I$601,"Pagado")&amp;"/"&amp;COUNTIFS(Cuotas!$A$2:$A$601,$A59))</f>
        <v/>
      </c>
      <c r="R59" s="16">
        <f>IF($A59="","",IF(COUNTIFS(Cuotas!$A$2:$A$601,$A59,Cuotas!$I$2:$I$601,"Pendiente")=0,"Terminado",IF(P59&lt;TODAY(),"Atrasado","Al día")))</f>
        <v/>
      </c>
    </row>
    <row r="60">
      <c r="A60" s="14" t="n"/>
      <c r="B60" s="14" t="n"/>
      <c r="C60" s="14" t="n"/>
      <c r="D60" s="31" t="n"/>
      <c r="E60" s="14" t="n"/>
      <c r="F60" s="14" t="n"/>
      <c r="G60" s="14" t="n"/>
      <c r="H60" s="14" t="n"/>
      <c r="I60" s="29">
        <f>IF($A60="","",IF(E60="%",D60*F60/100,IF(E60="Fijo por mes",F60*G60,F60)))</f>
        <v/>
      </c>
      <c r="J60" s="29">
        <f>IF($A60="","",ROUNDUP(D60/G60,0))</f>
        <v/>
      </c>
      <c r="K60" s="29">
        <f>IF($A60="","",ROUNDDOWN(I60/G60,0))</f>
        <v/>
      </c>
      <c r="L60" s="29">
        <f>IF($A60="","",J60+K60)</f>
        <v/>
      </c>
      <c r="M60" s="16">
        <f>IF($A60="","",IF(E60="%",D60&amp;"*"&amp;F60&amp;"%",IF(E60="Fijo por mes",D60&amp;"cap+"&amp;F60&amp;"int/mes",D60&amp;"cap+"&amp;I60&amp;"int"))&amp;IF(G60&gt;1,IF(E60="Fijo por mes"," x ","/")&amp;G60&amp;"mes","")&amp;"  →  "&amp;J60&amp;"cap+"&amp;K60&amp;"int="&amp;L60)</f>
        <v/>
      </c>
      <c r="N60" s="29">
        <f>IF($A60="","",SUMIFS(Cuotas!$F$2:$F$601,Cuotas!$A$2:$A$601,$A60,Cuotas!$I$2:$I$601,"Pendiente"))</f>
        <v/>
      </c>
      <c r="O60" s="29">
        <f>IF($A60="","",SUMIFS(Cuotas!$G$2:$G$601,Cuotas!$A$2:$A$601,$A60,Cuotas!$I$2:$I$601,"Pagado"))</f>
        <v/>
      </c>
      <c r="P60" s="32">
        <f>IF($A60="","",IF(COUNTIFS(Cuotas!$A$2:$A$601,$A60,Cuotas!$I$2:$I$601,"Pendiente")=0,"—",_xlfn.MINIFS(Cuotas!$E$2:$E$601,Cuotas!$A$2:$A$601,$A60,Cuotas!$I$2:$I$601,"Pendiente")))</f>
        <v/>
      </c>
      <c r="Q60" s="18">
        <f>IF($A60="","",COUNTIFS(Cuotas!$A$2:$A$601,$A60,Cuotas!$I$2:$I$601,"Pagado")&amp;"/"&amp;COUNTIFS(Cuotas!$A$2:$A$601,$A60))</f>
        <v/>
      </c>
      <c r="R60" s="16">
        <f>IF($A60="","",IF(COUNTIFS(Cuotas!$A$2:$A$601,$A60,Cuotas!$I$2:$I$601,"Pendiente")=0,"Terminado",IF(P60&lt;TODAY(),"Atrasado","Al día")))</f>
        <v/>
      </c>
    </row>
    <row r="61">
      <c r="A61" s="14" t="n"/>
      <c r="B61" s="14" t="n"/>
      <c r="C61" s="14" t="n"/>
      <c r="D61" s="31" t="n"/>
      <c r="E61" s="14" t="n"/>
      <c r="F61" s="14" t="n"/>
      <c r="G61" s="14" t="n"/>
      <c r="H61" s="14" t="n"/>
      <c r="I61" s="29">
        <f>IF($A61="","",IF(E61="%",D61*F61/100,IF(E61="Fijo por mes",F61*G61,F61)))</f>
        <v/>
      </c>
      <c r="J61" s="29">
        <f>IF($A61="","",ROUNDUP(D61/G61,0))</f>
        <v/>
      </c>
      <c r="K61" s="29">
        <f>IF($A61="","",ROUNDDOWN(I61/G61,0))</f>
        <v/>
      </c>
      <c r="L61" s="29">
        <f>IF($A61="","",J61+K61)</f>
        <v/>
      </c>
      <c r="M61" s="16">
        <f>IF($A61="","",IF(E61="%",D61&amp;"*"&amp;F61&amp;"%",IF(E61="Fijo por mes",D61&amp;"cap+"&amp;F61&amp;"int/mes",D61&amp;"cap+"&amp;I61&amp;"int"))&amp;IF(G61&gt;1,IF(E61="Fijo por mes"," x ","/")&amp;G61&amp;"mes","")&amp;"  →  "&amp;J61&amp;"cap+"&amp;K61&amp;"int="&amp;L61)</f>
        <v/>
      </c>
      <c r="N61" s="29">
        <f>IF($A61="","",SUMIFS(Cuotas!$F$2:$F$601,Cuotas!$A$2:$A$601,$A61,Cuotas!$I$2:$I$601,"Pendiente"))</f>
        <v/>
      </c>
      <c r="O61" s="29">
        <f>IF($A61="","",SUMIFS(Cuotas!$G$2:$G$601,Cuotas!$A$2:$A$601,$A61,Cuotas!$I$2:$I$601,"Pagado"))</f>
        <v/>
      </c>
      <c r="P61" s="32">
        <f>IF($A61="","",IF(COUNTIFS(Cuotas!$A$2:$A$601,$A61,Cuotas!$I$2:$I$601,"Pendiente")=0,"—",_xlfn.MINIFS(Cuotas!$E$2:$E$601,Cuotas!$A$2:$A$601,$A61,Cuotas!$I$2:$I$601,"Pendiente")))</f>
        <v/>
      </c>
      <c r="Q61" s="18">
        <f>IF($A61="","",COUNTIFS(Cuotas!$A$2:$A$601,$A61,Cuotas!$I$2:$I$601,"Pagado")&amp;"/"&amp;COUNTIFS(Cuotas!$A$2:$A$601,$A61))</f>
        <v/>
      </c>
      <c r="R61" s="16">
        <f>IF($A61="","",IF(COUNTIFS(Cuotas!$A$2:$A$601,$A61,Cuotas!$I$2:$I$601,"Pendiente")=0,"Terminado",IF(P61&lt;TODAY(),"Atrasado","Al día")))</f>
        <v/>
      </c>
    </row>
    <row r="62">
      <c r="A62" s="14" t="n"/>
      <c r="B62" s="14" t="n"/>
      <c r="C62" s="14" t="n"/>
      <c r="D62" s="31" t="n"/>
      <c r="E62" s="14" t="n"/>
      <c r="F62" s="14" t="n"/>
      <c r="G62" s="14" t="n"/>
      <c r="H62" s="14" t="n"/>
      <c r="I62" s="29">
        <f>IF($A62="","",IF(E62="%",D62*F62/100,IF(E62="Fijo por mes",F62*G62,F62)))</f>
        <v/>
      </c>
      <c r="J62" s="29">
        <f>IF($A62="","",ROUNDUP(D62/G62,0))</f>
        <v/>
      </c>
      <c r="K62" s="29">
        <f>IF($A62="","",ROUNDDOWN(I62/G62,0))</f>
        <v/>
      </c>
      <c r="L62" s="29">
        <f>IF($A62="","",J62+K62)</f>
        <v/>
      </c>
      <c r="M62" s="16">
        <f>IF($A62="","",IF(E62="%",D62&amp;"*"&amp;F62&amp;"%",IF(E62="Fijo por mes",D62&amp;"cap+"&amp;F62&amp;"int/mes",D62&amp;"cap+"&amp;I62&amp;"int"))&amp;IF(G62&gt;1,IF(E62="Fijo por mes"," x ","/")&amp;G62&amp;"mes","")&amp;"  →  "&amp;J62&amp;"cap+"&amp;K62&amp;"int="&amp;L62)</f>
        <v/>
      </c>
      <c r="N62" s="29">
        <f>IF($A62="","",SUMIFS(Cuotas!$F$2:$F$601,Cuotas!$A$2:$A$601,$A62,Cuotas!$I$2:$I$601,"Pendiente"))</f>
        <v/>
      </c>
      <c r="O62" s="29">
        <f>IF($A62="","",SUMIFS(Cuotas!$G$2:$G$601,Cuotas!$A$2:$A$601,$A62,Cuotas!$I$2:$I$601,"Pagado"))</f>
        <v/>
      </c>
      <c r="P62" s="32">
        <f>IF($A62="","",IF(COUNTIFS(Cuotas!$A$2:$A$601,$A62,Cuotas!$I$2:$I$601,"Pendiente")=0,"—",_xlfn.MINIFS(Cuotas!$E$2:$E$601,Cuotas!$A$2:$A$601,$A62,Cuotas!$I$2:$I$601,"Pendiente")))</f>
        <v/>
      </c>
      <c r="Q62" s="18">
        <f>IF($A62="","",COUNTIFS(Cuotas!$A$2:$A$601,$A62,Cuotas!$I$2:$I$601,"Pagado")&amp;"/"&amp;COUNTIFS(Cuotas!$A$2:$A$601,$A62))</f>
        <v/>
      </c>
      <c r="R62" s="16">
        <f>IF($A62="","",IF(COUNTIFS(Cuotas!$A$2:$A$601,$A62,Cuotas!$I$2:$I$601,"Pendiente")=0,"Terminado",IF(P62&lt;TODAY(),"Atrasado","Al día")))</f>
        <v/>
      </c>
    </row>
    <row r="63">
      <c r="A63" s="14" t="n"/>
      <c r="B63" s="14" t="n"/>
      <c r="C63" s="14" t="n"/>
      <c r="D63" s="31" t="n"/>
      <c r="E63" s="14" t="n"/>
      <c r="F63" s="14" t="n"/>
      <c r="G63" s="14" t="n"/>
      <c r="H63" s="14" t="n"/>
      <c r="I63" s="29">
        <f>IF($A63="","",IF(E63="%",D63*F63/100,IF(E63="Fijo por mes",F63*G63,F63)))</f>
        <v/>
      </c>
      <c r="J63" s="29">
        <f>IF($A63="","",ROUNDUP(D63/G63,0))</f>
        <v/>
      </c>
      <c r="K63" s="29">
        <f>IF($A63="","",ROUNDDOWN(I63/G63,0))</f>
        <v/>
      </c>
      <c r="L63" s="29">
        <f>IF($A63="","",J63+K63)</f>
        <v/>
      </c>
      <c r="M63" s="16">
        <f>IF($A63="","",IF(E63="%",D63&amp;"*"&amp;F63&amp;"%",IF(E63="Fijo por mes",D63&amp;"cap+"&amp;F63&amp;"int/mes",D63&amp;"cap+"&amp;I63&amp;"int"))&amp;IF(G63&gt;1,IF(E63="Fijo por mes"," x ","/")&amp;G63&amp;"mes","")&amp;"  →  "&amp;J63&amp;"cap+"&amp;K63&amp;"int="&amp;L63)</f>
        <v/>
      </c>
      <c r="N63" s="29">
        <f>IF($A63="","",SUMIFS(Cuotas!$F$2:$F$601,Cuotas!$A$2:$A$601,$A63,Cuotas!$I$2:$I$601,"Pendiente"))</f>
        <v/>
      </c>
      <c r="O63" s="29">
        <f>IF($A63="","",SUMIFS(Cuotas!$G$2:$G$601,Cuotas!$A$2:$A$601,$A63,Cuotas!$I$2:$I$601,"Pagado"))</f>
        <v/>
      </c>
      <c r="P63" s="32">
        <f>IF($A63="","",IF(COUNTIFS(Cuotas!$A$2:$A$601,$A63,Cuotas!$I$2:$I$601,"Pendiente")=0,"—",_xlfn.MINIFS(Cuotas!$E$2:$E$601,Cuotas!$A$2:$A$601,$A63,Cuotas!$I$2:$I$601,"Pendiente")))</f>
        <v/>
      </c>
      <c r="Q63" s="18">
        <f>IF($A63="","",COUNTIFS(Cuotas!$A$2:$A$601,$A63,Cuotas!$I$2:$I$601,"Pagado")&amp;"/"&amp;COUNTIFS(Cuotas!$A$2:$A$601,$A63))</f>
        <v/>
      </c>
      <c r="R63" s="16">
        <f>IF($A63="","",IF(COUNTIFS(Cuotas!$A$2:$A$601,$A63,Cuotas!$I$2:$I$601,"Pendiente")=0,"Terminado",IF(P63&lt;TODAY(),"Atrasado","Al día")))</f>
        <v/>
      </c>
    </row>
    <row r="64">
      <c r="A64" s="14" t="n"/>
      <c r="B64" s="14" t="n"/>
      <c r="C64" s="14" t="n"/>
      <c r="D64" s="31" t="n"/>
      <c r="E64" s="14" t="n"/>
      <c r="F64" s="14" t="n"/>
      <c r="G64" s="14" t="n"/>
      <c r="H64" s="14" t="n"/>
      <c r="I64" s="29">
        <f>IF($A64="","",IF(E64="%",D64*F64/100,IF(E64="Fijo por mes",F64*G64,F64)))</f>
        <v/>
      </c>
      <c r="J64" s="29">
        <f>IF($A64="","",ROUNDUP(D64/G64,0))</f>
        <v/>
      </c>
      <c r="K64" s="29">
        <f>IF($A64="","",ROUNDDOWN(I64/G64,0))</f>
        <v/>
      </c>
      <c r="L64" s="29">
        <f>IF($A64="","",J64+K64)</f>
        <v/>
      </c>
      <c r="M64" s="16">
        <f>IF($A64="","",IF(E64="%",D64&amp;"*"&amp;F64&amp;"%",IF(E64="Fijo por mes",D64&amp;"cap+"&amp;F64&amp;"int/mes",D64&amp;"cap+"&amp;I64&amp;"int"))&amp;IF(G64&gt;1,IF(E64="Fijo por mes"," x ","/")&amp;G64&amp;"mes","")&amp;"  →  "&amp;J64&amp;"cap+"&amp;K64&amp;"int="&amp;L64)</f>
        <v/>
      </c>
      <c r="N64" s="29">
        <f>IF($A64="","",SUMIFS(Cuotas!$F$2:$F$601,Cuotas!$A$2:$A$601,$A64,Cuotas!$I$2:$I$601,"Pendiente"))</f>
        <v/>
      </c>
      <c r="O64" s="29">
        <f>IF($A64="","",SUMIFS(Cuotas!$G$2:$G$601,Cuotas!$A$2:$A$601,$A64,Cuotas!$I$2:$I$601,"Pagado"))</f>
        <v/>
      </c>
      <c r="P64" s="32">
        <f>IF($A64="","",IF(COUNTIFS(Cuotas!$A$2:$A$601,$A64,Cuotas!$I$2:$I$601,"Pendiente")=0,"—",_xlfn.MINIFS(Cuotas!$E$2:$E$601,Cuotas!$A$2:$A$601,$A64,Cuotas!$I$2:$I$601,"Pendiente")))</f>
        <v/>
      </c>
      <c r="Q64" s="18">
        <f>IF($A64="","",COUNTIFS(Cuotas!$A$2:$A$601,$A64,Cuotas!$I$2:$I$601,"Pagado")&amp;"/"&amp;COUNTIFS(Cuotas!$A$2:$A$601,$A64))</f>
        <v/>
      </c>
      <c r="R64" s="16">
        <f>IF($A64="","",IF(COUNTIFS(Cuotas!$A$2:$A$601,$A64,Cuotas!$I$2:$I$601,"Pendiente")=0,"Terminado",IF(P64&lt;TODAY(),"Atrasado","Al día")))</f>
        <v/>
      </c>
    </row>
    <row r="65">
      <c r="A65" s="14" t="n"/>
      <c r="B65" s="14" t="n"/>
      <c r="C65" s="14" t="n"/>
      <c r="D65" s="31" t="n"/>
      <c r="E65" s="14" t="n"/>
      <c r="F65" s="14" t="n"/>
      <c r="G65" s="14" t="n"/>
      <c r="H65" s="14" t="n"/>
      <c r="I65" s="29">
        <f>IF($A65="","",IF(E65="%",D65*F65/100,IF(E65="Fijo por mes",F65*G65,F65)))</f>
        <v/>
      </c>
      <c r="J65" s="29">
        <f>IF($A65="","",ROUNDUP(D65/G65,0))</f>
        <v/>
      </c>
      <c r="K65" s="29">
        <f>IF($A65="","",ROUNDDOWN(I65/G65,0))</f>
        <v/>
      </c>
      <c r="L65" s="29">
        <f>IF($A65="","",J65+K65)</f>
        <v/>
      </c>
      <c r="M65" s="16">
        <f>IF($A65="","",IF(E65="%",D65&amp;"*"&amp;F65&amp;"%",IF(E65="Fijo por mes",D65&amp;"cap+"&amp;F65&amp;"int/mes",D65&amp;"cap+"&amp;I65&amp;"int"))&amp;IF(G65&gt;1,IF(E65="Fijo por mes"," x ","/")&amp;G65&amp;"mes","")&amp;"  →  "&amp;J65&amp;"cap+"&amp;K65&amp;"int="&amp;L65)</f>
        <v/>
      </c>
      <c r="N65" s="29">
        <f>IF($A65="","",SUMIFS(Cuotas!$F$2:$F$601,Cuotas!$A$2:$A$601,$A65,Cuotas!$I$2:$I$601,"Pendiente"))</f>
        <v/>
      </c>
      <c r="O65" s="29">
        <f>IF($A65="","",SUMIFS(Cuotas!$G$2:$G$601,Cuotas!$A$2:$A$601,$A65,Cuotas!$I$2:$I$601,"Pagado"))</f>
        <v/>
      </c>
      <c r="P65" s="32">
        <f>IF($A65="","",IF(COUNTIFS(Cuotas!$A$2:$A$601,$A65,Cuotas!$I$2:$I$601,"Pendiente")=0,"—",_xlfn.MINIFS(Cuotas!$E$2:$E$601,Cuotas!$A$2:$A$601,$A65,Cuotas!$I$2:$I$601,"Pendiente")))</f>
        <v/>
      </c>
      <c r="Q65" s="18">
        <f>IF($A65="","",COUNTIFS(Cuotas!$A$2:$A$601,$A65,Cuotas!$I$2:$I$601,"Pagado")&amp;"/"&amp;COUNTIFS(Cuotas!$A$2:$A$601,$A65))</f>
        <v/>
      </c>
      <c r="R65" s="16">
        <f>IF($A65="","",IF(COUNTIFS(Cuotas!$A$2:$A$601,$A65,Cuotas!$I$2:$I$601,"Pendiente")=0,"Terminado",IF(P65&lt;TODAY(),"Atrasado","Al día")))</f>
        <v/>
      </c>
    </row>
    <row r="66">
      <c r="A66" s="14" t="n"/>
      <c r="B66" s="14" t="n"/>
      <c r="C66" s="14" t="n"/>
      <c r="D66" s="31" t="n"/>
      <c r="E66" s="14" t="n"/>
      <c r="F66" s="14" t="n"/>
      <c r="G66" s="14" t="n"/>
      <c r="H66" s="14" t="n"/>
      <c r="I66" s="29">
        <f>IF($A66="","",IF(E66="%",D66*F66/100,IF(E66="Fijo por mes",F66*G66,F66)))</f>
        <v/>
      </c>
      <c r="J66" s="29">
        <f>IF($A66="","",ROUNDUP(D66/G66,0))</f>
        <v/>
      </c>
      <c r="K66" s="29">
        <f>IF($A66="","",ROUNDDOWN(I66/G66,0))</f>
        <v/>
      </c>
      <c r="L66" s="29">
        <f>IF($A66="","",J66+K66)</f>
        <v/>
      </c>
      <c r="M66" s="16">
        <f>IF($A66="","",IF(E66="%",D66&amp;"*"&amp;F66&amp;"%",IF(E66="Fijo por mes",D66&amp;"cap+"&amp;F66&amp;"int/mes",D66&amp;"cap+"&amp;I66&amp;"int"))&amp;IF(G66&gt;1,IF(E66="Fijo por mes"," x ","/")&amp;G66&amp;"mes","")&amp;"  →  "&amp;J66&amp;"cap+"&amp;K66&amp;"int="&amp;L66)</f>
        <v/>
      </c>
      <c r="N66" s="29">
        <f>IF($A66="","",SUMIFS(Cuotas!$F$2:$F$601,Cuotas!$A$2:$A$601,$A66,Cuotas!$I$2:$I$601,"Pendiente"))</f>
        <v/>
      </c>
      <c r="O66" s="29">
        <f>IF($A66="","",SUMIFS(Cuotas!$G$2:$G$601,Cuotas!$A$2:$A$601,$A66,Cuotas!$I$2:$I$601,"Pagado"))</f>
        <v/>
      </c>
      <c r="P66" s="32">
        <f>IF($A66="","",IF(COUNTIFS(Cuotas!$A$2:$A$601,$A66,Cuotas!$I$2:$I$601,"Pendiente")=0,"—",_xlfn.MINIFS(Cuotas!$E$2:$E$601,Cuotas!$A$2:$A$601,$A66,Cuotas!$I$2:$I$601,"Pendiente")))</f>
        <v/>
      </c>
      <c r="Q66" s="18">
        <f>IF($A66="","",COUNTIFS(Cuotas!$A$2:$A$601,$A66,Cuotas!$I$2:$I$601,"Pagado")&amp;"/"&amp;COUNTIFS(Cuotas!$A$2:$A$601,$A66))</f>
        <v/>
      </c>
      <c r="R66" s="16">
        <f>IF($A66="","",IF(COUNTIFS(Cuotas!$A$2:$A$601,$A66,Cuotas!$I$2:$I$601,"Pendiente")=0,"Terminado",IF(P66&lt;TODAY(),"Atrasado","Al día")))</f>
        <v/>
      </c>
    </row>
    <row r="67">
      <c r="A67" s="14" t="n"/>
      <c r="B67" s="14" t="n"/>
      <c r="C67" s="14" t="n"/>
      <c r="D67" s="31" t="n"/>
      <c r="E67" s="14" t="n"/>
      <c r="F67" s="14" t="n"/>
      <c r="G67" s="14" t="n"/>
      <c r="H67" s="14" t="n"/>
      <c r="I67" s="29">
        <f>IF($A67="","",IF(E67="%",D67*F67/100,IF(E67="Fijo por mes",F67*G67,F67)))</f>
        <v/>
      </c>
      <c r="J67" s="29">
        <f>IF($A67="","",ROUNDUP(D67/G67,0))</f>
        <v/>
      </c>
      <c r="K67" s="29">
        <f>IF($A67="","",ROUNDDOWN(I67/G67,0))</f>
        <v/>
      </c>
      <c r="L67" s="29">
        <f>IF($A67="","",J67+K67)</f>
        <v/>
      </c>
      <c r="M67" s="16">
        <f>IF($A67="","",IF(E67="%",D67&amp;"*"&amp;F67&amp;"%",IF(E67="Fijo por mes",D67&amp;"cap+"&amp;F67&amp;"int/mes",D67&amp;"cap+"&amp;I67&amp;"int"))&amp;IF(G67&gt;1,IF(E67="Fijo por mes"," x ","/")&amp;G67&amp;"mes","")&amp;"  →  "&amp;J67&amp;"cap+"&amp;K67&amp;"int="&amp;L67)</f>
        <v/>
      </c>
      <c r="N67" s="29">
        <f>IF($A67="","",SUMIFS(Cuotas!$F$2:$F$601,Cuotas!$A$2:$A$601,$A67,Cuotas!$I$2:$I$601,"Pendiente"))</f>
        <v/>
      </c>
      <c r="O67" s="29">
        <f>IF($A67="","",SUMIFS(Cuotas!$G$2:$G$601,Cuotas!$A$2:$A$601,$A67,Cuotas!$I$2:$I$601,"Pagado"))</f>
        <v/>
      </c>
      <c r="P67" s="32">
        <f>IF($A67="","",IF(COUNTIFS(Cuotas!$A$2:$A$601,$A67,Cuotas!$I$2:$I$601,"Pendiente")=0,"—",_xlfn.MINIFS(Cuotas!$E$2:$E$601,Cuotas!$A$2:$A$601,$A67,Cuotas!$I$2:$I$601,"Pendiente")))</f>
        <v/>
      </c>
      <c r="Q67" s="18">
        <f>IF($A67="","",COUNTIFS(Cuotas!$A$2:$A$601,$A67,Cuotas!$I$2:$I$601,"Pagado")&amp;"/"&amp;COUNTIFS(Cuotas!$A$2:$A$601,$A67))</f>
        <v/>
      </c>
      <c r="R67" s="16">
        <f>IF($A67="","",IF(COUNTIFS(Cuotas!$A$2:$A$601,$A67,Cuotas!$I$2:$I$601,"Pendiente")=0,"Terminado",IF(P67&lt;TODAY(),"Atrasado","Al día")))</f>
        <v/>
      </c>
    </row>
    <row r="68">
      <c r="A68" s="14" t="n"/>
      <c r="B68" s="14" t="n"/>
      <c r="C68" s="14" t="n"/>
      <c r="D68" s="31" t="n"/>
      <c r="E68" s="14" t="n"/>
      <c r="F68" s="14" t="n"/>
      <c r="G68" s="14" t="n"/>
      <c r="H68" s="14" t="n"/>
      <c r="I68" s="29">
        <f>IF($A68="","",IF(E68="%",D68*F68/100,IF(E68="Fijo por mes",F68*G68,F68)))</f>
        <v/>
      </c>
      <c r="J68" s="29">
        <f>IF($A68="","",ROUNDUP(D68/G68,0))</f>
        <v/>
      </c>
      <c r="K68" s="29">
        <f>IF($A68="","",ROUNDDOWN(I68/G68,0))</f>
        <v/>
      </c>
      <c r="L68" s="29">
        <f>IF($A68="","",J68+K68)</f>
        <v/>
      </c>
      <c r="M68" s="16">
        <f>IF($A68="","",IF(E68="%",D68&amp;"*"&amp;F68&amp;"%",IF(E68="Fijo por mes",D68&amp;"cap+"&amp;F68&amp;"int/mes",D68&amp;"cap+"&amp;I68&amp;"int"))&amp;IF(G68&gt;1,IF(E68="Fijo por mes"," x ","/")&amp;G68&amp;"mes","")&amp;"  →  "&amp;J68&amp;"cap+"&amp;K68&amp;"int="&amp;L68)</f>
        <v/>
      </c>
      <c r="N68" s="29">
        <f>IF($A68="","",SUMIFS(Cuotas!$F$2:$F$601,Cuotas!$A$2:$A$601,$A68,Cuotas!$I$2:$I$601,"Pendiente"))</f>
        <v/>
      </c>
      <c r="O68" s="29">
        <f>IF($A68="","",SUMIFS(Cuotas!$G$2:$G$601,Cuotas!$A$2:$A$601,$A68,Cuotas!$I$2:$I$601,"Pagado"))</f>
        <v/>
      </c>
      <c r="P68" s="32">
        <f>IF($A68="","",IF(COUNTIFS(Cuotas!$A$2:$A$601,$A68,Cuotas!$I$2:$I$601,"Pendiente")=0,"—",_xlfn.MINIFS(Cuotas!$E$2:$E$601,Cuotas!$A$2:$A$601,$A68,Cuotas!$I$2:$I$601,"Pendiente")))</f>
        <v/>
      </c>
      <c r="Q68" s="18">
        <f>IF($A68="","",COUNTIFS(Cuotas!$A$2:$A$601,$A68,Cuotas!$I$2:$I$601,"Pagado")&amp;"/"&amp;COUNTIFS(Cuotas!$A$2:$A$601,$A68))</f>
        <v/>
      </c>
      <c r="R68" s="16">
        <f>IF($A68="","",IF(COUNTIFS(Cuotas!$A$2:$A$601,$A68,Cuotas!$I$2:$I$601,"Pendiente")=0,"Terminado",IF(P68&lt;TODAY(),"Atrasado","Al día")))</f>
        <v/>
      </c>
    </row>
    <row r="69">
      <c r="A69" s="14" t="n"/>
      <c r="B69" s="14" t="n"/>
      <c r="C69" s="14" t="n"/>
      <c r="D69" s="31" t="n"/>
      <c r="E69" s="14" t="n"/>
      <c r="F69" s="14" t="n"/>
      <c r="G69" s="14" t="n"/>
      <c r="H69" s="14" t="n"/>
      <c r="I69" s="29">
        <f>IF($A69="","",IF(E69="%",D69*F69/100,IF(E69="Fijo por mes",F69*G69,F69)))</f>
        <v/>
      </c>
      <c r="J69" s="29">
        <f>IF($A69="","",ROUNDUP(D69/G69,0))</f>
        <v/>
      </c>
      <c r="K69" s="29">
        <f>IF($A69="","",ROUNDDOWN(I69/G69,0))</f>
        <v/>
      </c>
      <c r="L69" s="29">
        <f>IF($A69="","",J69+K69)</f>
        <v/>
      </c>
      <c r="M69" s="16">
        <f>IF($A69="","",IF(E69="%",D69&amp;"*"&amp;F69&amp;"%",IF(E69="Fijo por mes",D69&amp;"cap+"&amp;F69&amp;"int/mes",D69&amp;"cap+"&amp;I69&amp;"int"))&amp;IF(G69&gt;1,IF(E69="Fijo por mes"," x ","/")&amp;G69&amp;"mes","")&amp;"  →  "&amp;J69&amp;"cap+"&amp;K69&amp;"int="&amp;L69)</f>
        <v/>
      </c>
      <c r="N69" s="29">
        <f>IF($A69="","",SUMIFS(Cuotas!$F$2:$F$601,Cuotas!$A$2:$A$601,$A69,Cuotas!$I$2:$I$601,"Pendiente"))</f>
        <v/>
      </c>
      <c r="O69" s="29">
        <f>IF($A69="","",SUMIFS(Cuotas!$G$2:$G$601,Cuotas!$A$2:$A$601,$A69,Cuotas!$I$2:$I$601,"Pagado"))</f>
        <v/>
      </c>
      <c r="P69" s="32">
        <f>IF($A69="","",IF(COUNTIFS(Cuotas!$A$2:$A$601,$A69,Cuotas!$I$2:$I$601,"Pendiente")=0,"—",_xlfn.MINIFS(Cuotas!$E$2:$E$601,Cuotas!$A$2:$A$601,$A69,Cuotas!$I$2:$I$601,"Pendiente")))</f>
        <v/>
      </c>
      <c r="Q69" s="18">
        <f>IF($A69="","",COUNTIFS(Cuotas!$A$2:$A$601,$A69,Cuotas!$I$2:$I$601,"Pagado")&amp;"/"&amp;COUNTIFS(Cuotas!$A$2:$A$601,$A69))</f>
        <v/>
      </c>
      <c r="R69" s="16">
        <f>IF($A69="","",IF(COUNTIFS(Cuotas!$A$2:$A$601,$A69,Cuotas!$I$2:$I$601,"Pendiente")=0,"Terminado",IF(P69&lt;TODAY(),"Atrasado","Al día")))</f>
        <v/>
      </c>
    </row>
    <row r="70">
      <c r="A70" s="14" t="n"/>
      <c r="B70" s="14" t="n"/>
      <c r="C70" s="14" t="n"/>
      <c r="D70" s="31" t="n"/>
      <c r="E70" s="14" t="n"/>
      <c r="F70" s="14" t="n"/>
      <c r="G70" s="14" t="n"/>
      <c r="H70" s="14" t="n"/>
      <c r="I70" s="29">
        <f>IF($A70="","",IF(E70="%",D70*F70/100,IF(E70="Fijo por mes",F70*G70,F70)))</f>
        <v/>
      </c>
      <c r="J70" s="29">
        <f>IF($A70="","",ROUNDUP(D70/G70,0))</f>
        <v/>
      </c>
      <c r="K70" s="29">
        <f>IF($A70="","",ROUNDDOWN(I70/G70,0))</f>
        <v/>
      </c>
      <c r="L70" s="29">
        <f>IF($A70="","",J70+K70)</f>
        <v/>
      </c>
      <c r="M70" s="16">
        <f>IF($A70="","",IF(E70="%",D70&amp;"*"&amp;F70&amp;"%",IF(E70="Fijo por mes",D70&amp;"cap+"&amp;F70&amp;"int/mes",D70&amp;"cap+"&amp;I70&amp;"int"))&amp;IF(G70&gt;1,IF(E70="Fijo por mes"," x ","/")&amp;G70&amp;"mes","")&amp;"  →  "&amp;J70&amp;"cap+"&amp;K70&amp;"int="&amp;L70)</f>
        <v/>
      </c>
      <c r="N70" s="29">
        <f>IF($A70="","",SUMIFS(Cuotas!$F$2:$F$601,Cuotas!$A$2:$A$601,$A70,Cuotas!$I$2:$I$601,"Pendiente"))</f>
        <v/>
      </c>
      <c r="O70" s="29">
        <f>IF($A70="","",SUMIFS(Cuotas!$G$2:$G$601,Cuotas!$A$2:$A$601,$A70,Cuotas!$I$2:$I$601,"Pagado"))</f>
        <v/>
      </c>
      <c r="P70" s="32">
        <f>IF($A70="","",IF(COUNTIFS(Cuotas!$A$2:$A$601,$A70,Cuotas!$I$2:$I$601,"Pendiente")=0,"—",_xlfn.MINIFS(Cuotas!$E$2:$E$601,Cuotas!$A$2:$A$601,$A70,Cuotas!$I$2:$I$601,"Pendiente")))</f>
        <v/>
      </c>
      <c r="Q70" s="18">
        <f>IF($A70="","",COUNTIFS(Cuotas!$A$2:$A$601,$A70,Cuotas!$I$2:$I$601,"Pagado")&amp;"/"&amp;COUNTIFS(Cuotas!$A$2:$A$601,$A70))</f>
        <v/>
      </c>
      <c r="R70" s="16">
        <f>IF($A70="","",IF(COUNTIFS(Cuotas!$A$2:$A$601,$A70,Cuotas!$I$2:$I$601,"Pendiente")=0,"Terminado",IF(P70&lt;TODAY(),"Atrasado","Al día")))</f>
        <v/>
      </c>
    </row>
    <row r="71">
      <c r="A71" s="14" t="n"/>
      <c r="B71" s="14" t="n"/>
      <c r="C71" s="14" t="n"/>
      <c r="D71" s="31" t="n"/>
      <c r="E71" s="14" t="n"/>
      <c r="F71" s="14" t="n"/>
      <c r="G71" s="14" t="n"/>
      <c r="H71" s="14" t="n"/>
      <c r="I71" s="29">
        <f>IF($A71="","",IF(E71="%",D71*F71/100,IF(E71="Fijo por mes",F71*G71,F71)))</f>
        <v/>
      </c>
      <c r="J71" s="29">
        <f>IF($A71="","",ROUNDUP(D71/G71,0))</f>
        <v/>
      </c>
      <c r="K71" s="29">
        <f>IF($A71="","",ROUNDDOWN(I71/G71,0))</f>
        <v/>
      </c>
      <c r="L71" s="29">
        <f>IF($A71="","",J71+K71)</f>
        <v/>
      </c>
      <c r="M71" s="16">
        <f>IF($A71="","",IF(E71="%",D71&amp;"*"&amp;F71&amp;"%",IF(E71="Fijo por mes",D71&amp;"cap+"&amp;F71&amp;"int/mes",D71&amp;"cap+"&amp;I71&amp;"int"))&amp;IF(G71&gt;1,IF(E71="Fijo por mes"," x ","/")&amp;G71&amp;"mes","")&amp;"  →  "&amp;J71&amp;"cap+"&amp;K71&amp;"int="&amp;L71)</f>
        <v/>
      </c>
      <c r="N71" s="29">
        <f>IF($A71="","",SUMIFS(Cuotas!$F$2:$F$601,Cuotas!$A$2:$A$601,$A71,Cuotas!$I$2:$I$601,"Pendiente"))</f>
        <v/>
      </c>
      <c r="O71" s="29">
        <f>IF($A71="","",SUMIFS(Cuotas!$G$2:$G$601,Cuotas!$A$2:$A$601,$A71,Cuotas!$I$2:$I$601,"Pagado"))</f>
        <v/>
      </c>
      <c r="P71" s="32">
        <f>IF($A71="","",IF(COUNTIFS(Cuotas!$A$2:$A$601,$A71,Cuotas!$I$2:$I$601,"Pendiente")=0,"—",_xlfn.MINIFS(Cuotas!$E$2:$E$601,Cuotas!$A$2:$A$601,$A71,Cuotas!$I$2:$I$601,"Pendiente")))</f>
        <v/>
      </c>
      <c r="Q71" s="18">
        <f>IF($A71="","",COUNTIFS(Cuotas!$A$2:$A$601,$A71,Cuotas!$I$2:$I$601,"Pagado")&amp;"/"&amp;COUNTIFS(Cuotas!$A$2:$A$601,$A71))</f>
        <v/>
      </c>
      <c r="R71" s="16">
        <f>IF($A71="","",IF(COUNTIFS(Cuotas!$A$2:$A$601,$A71,Cuotas!$I$2:$I$601,"Pendiente")=0,"Terminado",IF(P71&lt;TODAY(),"Atrasado","Al día")))</f>
        <v/>
      </c>
    </row>
    <row r="72">
      <c r="A72" s="14" t="n"/>
      <c r="B72" s="14" t="n"/>
      <c r="C72" s="14" t="n"/>
      <c r="D72" s="31" t="n"/>
      <c r="E72" s="14" t="n"/>
      <c r="F72" s="14" t="n"/>
      <c r="G72" s="14" t="n"/>
      <c r="H72" s="14" t="n"/>
      <c r="I72" s="29">
        <f>IF($A72="","",IF(E72="%",D72*F72/100,IF(E72="Fijo por mes",F72*G72,F72)))</f>
        <v/>
      </c>
      <c r="J72" s="29">
        <f>IF($A72="","",ROUNDUP(D72/G72,0))</f>
        <v/>
      </c>
      <c r="K72" s="29">
        <f>IF($A72="","",ROUNDDOWN(I72/G72,0))</f>
        <v/>
      </c>
      <c r="L72" s="29">
        <f>IF($A72="","",J72+K72)</f>
        <v/>
      </c>
      <c r="M72" s="16">
        <f>IF($A72="","",IF(E72="%",D72&amp;"*"&amp;F72&amp;"%",IF(E72="Fijo por mes",D72&amp;"cap+"&amp;F72&amp;"int/mes",D72&amp;"cap+"&amp;I72&amp;"int"))&amp;IF(G72&gt;1,IF(E72="Fijo por mes"," x ","/")&amp;G72&amp;"mes","")&amp;"  →  "&amp;J72&amp;"cap+"&amp;K72&amp;"int="&amp;L72)</f>
        <v/>
      </c>
      <c r="N72" s="29">
        <f>IF($A72="","",SUMIFS(Cuotas!$F$2:$F$601,Cuotas!$A$2:$A$601,$A72,Cuotas!$I$2:$I$601,"Pendiente"))</f>
        <v/>
      </c>
      <c r="O72" s="29">
        <f>IF($A72="","",SUMIFS(Cuotas!$G$2:$G$601,Cuotas!$A$2:$A$601,$A72,Cuotas!$I$2:$I$601,"Pagado"))</f>
        <v/>
      </c>
      <c r="P72" s="32">
        <f>IF($A72="","",IF(COUNTIFS(Cuotas!$A$2:$A$601,$A72,Cuotas!$I$2:$I$601,"Pendiente")=0,"—",_xlfn.MINIFS(Cuotas!$E$2:$E$601,Cuotas!$A$2:$A$601,$A72,Cuotas!$I$2:$I$601,"Pendiente")))</f>
        <v/>
      </c>
      <c r="Q72" s="18">
        <f>IF($A72="","",COUNTIFS(Cuotas!$A$2:$A$601,$A72,Cuotas!$I$2:$I$601,"Pagado")&amp;"/"&amp;COUNTIFS(Cuotas!$A$2:$A$601,$A72))</f>
        <v/>
      </c>
      <c r="R72" s="16">
        <f>IF($A72="","",IF(COUNTIFS(Cuotas!$A$2:$A$601,$A72,Cuotas!$I$2:$I$601,"Pendiente")=0,"Terminado",IF(P72&lt;TODAY(),"Atrasado","Al día")))</f>
        <v/>
      </c>
    </row>
    <row r="73">
      <c r="A73" s="14" t="n"/>
      <c r="B73" s="14" t="n"/>
      <c r="C73" s="14" t="n"/>
      <c r="D73" s="31" t="n"/>
      <c r="E73" s="14" t="n"/>
      <c r="F73" s="14" t="n"/>
      <c r="G73" s="14" t="n"/>
      <c r="H73" s="14" t="n"/>
      <c r="I73" s="29">
        <f>IF($A73="","",IF(E73="%",D73*F73/100,IF(E73="Fijo por mes",F73*G73,F73)))</f>
        <v/>
      </c>
      <c r="J73" s="29">
        <f>IF($A73="","",ROUNDUP(D73/G73,0))</f>
        <v/>
      </c>
      <c r="K73" s="29">
        <f>IF($A73="","",ROUNDDOWN(I73/G73,0))</f>
        <v/>
      </c>
      <c r="L73" s="29">
        <f>IF($A73="","",J73+K73)</f>
        <v/>
      </c>
      <c r="M73" s="16">
        <f>IF($A73="","",IF(E73="%",D73&amp;"*"&amp;F73&amp;"%",IF(E73="Fijo por mes",D73&amp;"cap+"&amp;F73&amp;"int/mes",D73&amp;"cap+"&amp;I73&amp;"int"))&amp;IF(G73&gt;1,IF(E73="Fijo por mes"," x ","/")&amp;G73&amp;"mes","")&amp;"  →  "&amp;J73&amp;"cap+"&amp;K73&amp;"int="&amp;L73)</f>
        <v/>
      </c>
      <c r="N73" s="29">
        <f>IF($A73="","",SUMIFS(Cuotas!$F$2:$F$601,Cuotas!$A$2:$A$601,$A73,Cuotas!$I$2:$I$601,"Pendiente"))</f>
        <v/>
      </c>
      <c r="O73" s="29">
        <f>IF($A73="","",SUMIFS(Cuotas!$G$2:$G$601,Cuotas!$A$2:$A$601,$A73,Cuotas!$I$2:$I$601,"Pagado"))</f>
        <v/>
      </c>
      <c r="P73" s="32">
        <f>IF($A73="","",IF(COUNTIFS(Cuotas!$A$2:$A$601,$A73,Cuotas!$I$2:$I$601,"Pendiente")=0,"—",_xlfn.MINIFS(Cuotas!$E$2:$E$601,Cuotas!$A$2:$A$601,$A73,Cuotas!$I$2:$I$601,"Pendiente")))</f>
        <v/>
      </c>
      <c r="Q73" s="18">
        <f>IF($A73="","",COUNTIFS(Cuotas!$A$2:$A$601,$A73,Cuotas!$I$2:$I$601,"Pagado")&amp;"/"&amp;COUNTIFS(Cuotas!$A$2:$A$601,$A73))</f>
        <v/>
      </c>
      <c r="R73" s="16">
        <f>IF($A73="","",IF(COUNTIFS(Cuotas!$A$2:$A$601,$A73,Cuotas!$I$2:$I$601,"Pendiente")=0,"Terminado",IF(P73&lt;TODAY(),"Atrasado","Al día")))</f>
        <v/>
      </c>
    </row>
    <row r="74">
      <c r="A74" s="14" t="n"/>
      <c r="B74" s="14" t="n"/>
      <c r="C74" s="14" t="n"/>
      <c r="D74" s="31" t="n"/>
      <c r="E74" s="14" t="n"/>
      <c r="F74" s="14" t="n"/>
      <c r="G74" s="14" t="n"/>
      <c r="H74" s="14" t="n"/>
      <c r="I74" s="29">
        <f>IF($A74="","",IF(E74="%",D74*F74/100,IF(E74="Fijo por mes",F74*G74,F74)))</f>
        <v/>
      </c>
      <c r="J74" s="29">
        <f>IF($A74="","",ROUNDUP(D74/G74,0))</f>
        <v/>
      </c>
      <c r="K74" s="29">
        <f>IF($A74="","",ROUNDDOWN(I74/G74,0))</f>
        <v/>
      </c>
      <c r="L74" s="29">
        <f>IF($A74="","",J74+K74)</f>
        <v/>
      </c>
      <c r="M74" s="16">
        <f>IF($A74="","",IF(E74="%",D74&amp;"*"&amp;F74&amp;"%",IF(E74="Fijo por mes",D74&amp;"cap+"&amp;F74&amp;"int/mes",D74&amp;"cap+"&amp;I74&amp;"int"))&amp;IF(G74&gt;1,IF(E74="Fijo por mes"," x ","/")&amp;G74&amp;"mes","")&amp;"  →  "&amp;J74&amp;"cap+"&amp;K74&amp;"int="&amp;L74)</f>
        <v/>
      </c>
      <c r="N74" s="29">
        <f>IF($A74="","",SUMIFS(Cuotas!$F$2:$F$601,Cuotas!$A$2:$A$601,$A74,Cuotas!$I$2:$I$601,"Pendiente"))</f>
        <v/>
      </c>
      <c r="O74" s="29">
        <f>IF($A74="","",SUMIFS(Cuotas!$G$2:$G$601,Cuotas!$A$2:$A$601,$A74,Cuotas!$I$2:$I$601,"Pagado"))</f>
        <v/>
      </c>
      <c r="P74" s="32">
        <f>IF($A74="","",IF(COUNTIFS(Cuotas!$A$2:$A$601,$A74,Cuotas!$I$2:$I$601,"Pendiente")=0,"—",_xlfn.MINIFS(Cuotas!$E$2:$E$601,Cuotas!$A$2:$A$601,$A74,Cuotas!$I$2:$I$601,"Pendiente")))</f>
        <v/>
      </c>
      <c r="Q74" s="18">
        <f>IF($A74="","",COUNTIFS(Cuotas!$A$2:$A$601,$A74,Cuotas!$I$2:$I$601,"Pagado")&amp;"/"&amp;COUNTIFS(Cuotas!$A$2:$A$601,$A74))</f>
        <v/>
      </c>
      <c r="R74" s="16">
        <f>IF($A74="","",IF(COUNTIFS(Cuotas!$A$2:$A$601,$A74,Cuotas!$I$2:$I$601,"Pendiente")=0,"Terminado",IF(P74&lt;TODAY(),"Atrasado","Al día")))</f>
        <v/>
      </c>
    </row>
    <row r="75">
      <c r="A75" s="14" t="n"/>
      <c r="B75" s="14" t="n"/>
      <c r="C75" s="14" t="n"/>
      <c r="D75" s="31" t="n"/>
      <c r="E75" s="14" t="n"/>
      <c r="F75" s="14" t="n"/>
      <c r="G75" s="14" t="n"/>
      <c r="H75" s="14" t="n"/>
      <c r="I75" s="29">
        <f>IF($A75="","",IF(E75="%",D75*F75/100,IF(E75="Fijo por mes",F75*G75,F75)))</f>
        <v/>
      </c>
      <c r="J75" s="29">
        <f>IF($A75="","",ROUNDUP(D75/G75,0))</f>
        <v/>
      </c>
      <c r="K75" s="29">
        <f>IF($A75="","",ROUNDDOWN(I75/G75,0))</f>
        <v/>
      </c>
      <c r="L75" s="29">
        <f>IF($A75="","",J75+K75)</f>
        <v/>
      </c>
      <c r="M75" s="16">
        <f>IF($A75="","",IF(E75="%",D75&amp;"*"&amp;F75&amp;"%",IF(E75="Fijo por mes",D75&amp;"cap+"&amp;F75&amp;"int/mes",D75&amp;"cap+"&amp;I75&amp;"int"))&amp;IF(G75&gt;1,IF(E75="Fijo por mes"," x ","/")&amp;G75&amp;"mes","")&amp;"  →  "&amp;J75&amp;"cap+"&amp;K75&amp;"int="&amp;L75)</f>
        <v/>
      </c>
      <c r="N75" s="29">
        <f>IF($A75="","",SUMIFS(Cuotas!$F$2:$F$601,Cuotas!$A$2:$A$601,$A75,Cuotas!$I$2:$I$601,"Pendiente"))</f>
        <v/>
      </c>
      <c r="O75" s="29">
        <f>IF($A75="","",SUMIFS(Cuotas!$G$2:$G$601,Cuotas!$A$2:$A$601,$A75,Cuotas!$I$2:$I$601,"Pagado"))</f>
        <v/>
      </c>
      <c r="P75" s="32">
        <f>IF($A75="","",IF(COUNTIFS(Cuotas!$A$2:$A$601,$A75,Cuotas!$I$2:$I$601,"Pendiente")=0,"—",_xlfn.MINIFS(Cuotas!$E$2:$E$601,Cuotas!$A$2:$A$601,$A75,Cuotas!$I$2:$I$601,"Pendiente")))</f>
        <v/>
      </c>
      <c r="Q75" s="18">
        <f>IF($A75="","",COUNTIFS(Cuotas!$A$2:$A$601,$A75,Cuotas!$I$2:$I$601,"Pagado")&amp;"/"&amp;COUNTIFS(Cuotas!$A$2:$A$601,$A75))</f>
        <v/>
      </c>
      <c r="R75" s="16">
        <f>IF($A75="","",IF(COUNTIFS(Cuotas!$A$2:$A$601,$A75,Cuotas!$I$2:$I$601,"Pendiente")=0,"Terminado",IF(P75&lt;TODAY(),"Atrasado","Al día")))</f>
        <v/>
      </c>
    </row>
    <row r="76">
      <c r="A76" s="14" t="n"/>
      <c r="B76" s="14" t="n"/>
      <c r="C76" s="14" t="n"/>
      <c r="D76" s="31" t="n"/>
      <c r="E76" s="14" t="n"/>
      <c r="F76" s="14" t="n"/>
      <c r="G76" s="14" t="n"/>
      <c r="H76" s="14" t="n"/>
      <c r="I76" s="29">
        <f>IF($A76="","",IF(E76="%",D76*F76/100,IF(E76="Fijo por mes",F76*G76,F76)))</f>
        <v/>
      </c>
      <c r="J76" s="29">
        <f>IF($A76="","",ROUNDUP(D76/G76,0))</f>
        <v/>
      </c>
      <c r="K76" s="29">
        <f>IF($A76="","",ROUNDDOWN(I76/G76,0))</f>
        <v/>
      </c>
      <c r="L76" s="29">
        <f>IF($A76="","",J76+K76)</f>
        <v/>
      </c>
      <c r="M76" s="16">
        <f>IF($A76="","",IF(E76="%",D76&amp;"*"&amp;F76&amp;"%",IF(E76="Fijo por mes",D76&amp;"cap+"&amp;F76&amp;"int/mes",D76&amp;"cap+"&amp;I76&amp;"int"))&amp;IF(G76&gt;1,IF(E76="Fijo por mes"," x ","/")&amp;G76&amp;"mes","")&amp;"  →  "&amp;J76&amp;"cap+"&amp;K76&amp;"int="&amp;L76)</f>
        <v/>
      </c>
      <c r="N76" s="29">
        <f>IF($A76="","",SUMIFS(Cuotas!$F$2:$F$601,Cuotas!$A$2:$A$601,$A76,Cuotas!$I$2:$I$601,"Pendiente"))</f>
        <v/>
      </c>
      <c r="O76" s="29">
        <f>IF($A76="","",SUMIFS(Cuotas!$G$2:$G$601,Cuotas!$A$2:$A$601,$A76,Cuotas!$I$2:$I$601,"Pagado"))</f>
        <v/>
      </c>
      <c r="P76" s="32">
        <f>IF($A76="","",IF(COUNTIFS(Cuotas!$A$2:$A$601,$A76,Cuotas!$I$2:$I$601,"Pendiente")=0,"—",_xlfn.MINIFS(Cuotas!$E$2:$E$601,Cuotas!$A$2:$A$601,$A76,Cuotas!$I$2:$I$601,"Pendiente")))</f>
        <v/>
      </c>
      <c r="Q76" s="18">
        <f>IF($A76="","",COUNTIFS(Cuotas!$A$2:$A$601,$A76,Cuotas!$I$2:$I$601,"Pagado")&amp;"/"&amp;COUNTIFS(Cuotas!$A$2:$A$601,$A76))</f>
        <v/>
      </c>
      <c r="R76" s="16">
        <f>IF($A76="","",IF(COUNTIFS(Cuotas!$A$2:$A$601,$A76,Cuotas!$I$2:$I$601,"Pendiente")=0,"Terminado",IF(P76&lt;TODAY(),"Atrasado","Al día")))</f>
        <v/>
      </c>
    </row>
    <row r="77">
      <c r="A77" s="14" t="n"/>
      <c r="B77" s="14" t="n"/>
      <c r="C77" s="14" t="n"/>
      <c r="D77" s="31" t="n"/>
      <c r="E77" s="14" t="n"/>
      <c r="F77" s="14" t="n"/>
      <c r="G77" s="14" t="n"/>
      <c r="H77" s="14" t="n"/>
      <c r="I77" s="29">
        <f>IF($A77="","",IF(E77="%",D77*F77/100,IF(E77="Fijo por mes",F77*G77,F77)))</f>
        <v/>
      </c>
      <c r="J77" s="29">
        <f>IF($A77="","",ROUNDUP(D77/G77,0))</f>
        <v/>
      </c>
      <c r="K77" s="29">
        <f>IF($A77="","",ROUNDDOWN(I77/G77,0))</f>
        <v/>
      </c>
      <c r="L77" s="29">
        <f>IF($A77="","",J77+K77)</f>
        <v/>
      </c>
      <c r="M77" s="16">
        <f>IF($A77="","",IF(E77="%",D77&amp;"*"&amp;F77&amp;"%",IF(E77="Fijo por mes",D77&amp;"cap+"&amp;F77&amp;"int/mes",D77&amp;"cap+"&amp;I77&amp;"int"))&amp;IF(G77&gt;1,IF(E77="Fijo por mes"," x ","/")&amp;G77&amp;"mes","")&amp;"  →  "&amp;J77&amp;"cap+"&amp;K77&amp;"int="&amp;L77)</f>
        <v/>
      </c>
      <c r="N77" s="29">
        <f>IF($A77="","",SUMIFS(Cuotas!$F$2:$F$601,Cuotas!$A$2:$A$601,$A77,Cuotas!$I$2:$I$601,"Pendiente"))</f>
        <v/>
      </c>
      <c r="O77" s="29">
        <f>IF($A77="","",SUMIFS(Cuotas!$G$2:$G$601,Cuotas!$A$2:$A$601,$A77,Cuotas!$I$2:$I$601,"Pagado"))</f>
        <v/>
      </c>
      <c r="P77" s="32">
        <f>IF($A77="","",IF(COUNTIFS(Cuotas!$A$2:$A$601,$A77,Cuotas!$I$2:$I$601,"Pendiente")=0,"—",_xlfn.MINIFS(Cuotas!$E$2:$E$601,Cuotas!$A$2:$A$601,$A77,Cuotas!$I$2:$I$601,"Pendiente")))</f>
        <v/>
      </c>
      <c r="Q77" s="18">
        <f>IF($A77="","",COUNTIFS(Cuotas!$A$2:$A$601,$A77,Cuotas!$I$2:$I$601,"Pagado")&amp;"/"&amp;COUNTIFS(Cuotas!$A$2:$A$601,$A77))</f>
        <v/>
      </c>
      <c r="R77" s="16">
        <f>IF($A77="","",IF(COUNTIFS(Cuotas!$A$2:$A$601,$A77,Cuotas!$I$2:$I$601,"Pendiente")=0,"Terminado",IF(P77&lt;TODAY(),"Atrasado","Al día")))</f>
        <v/>
      </c>
    </row>
    <row r="78">
      <c r="A78" s="14" t="n"/>
      <c r="B78" s="14" t="n"/>
      <c r="C78" s="14" t="n"/>
      <c r="D78" s="31" t="n"/>
      <c r="E78" s="14" t="n"/>
      <c r="F78" s="14" t="n"/>
      <c r="G78" s="14" t="n"/>
      <c r="H78" s="14" t="n"/>
      <c r="I78" s="29">
        <f>IF($A78="","",IF(E78="%",D78*F78/100,IF(E78="Fijo por mes",F78*G78,F78)))</f>
        <v/>
      </c>
      <c r="J78" s="29">
        <f>IF($A78="","",ROUNDUP(D78/G78,0))</f>
        <v/>
      </c>
      <c r="K78" s="29">
        <f>IF($A78="","",ROUNDDOWN(I78/G78,0))</f>
        <v/>
      </c>
      <c r="L78" s="29">
        <f>IF($A78="","",J78+K78)</f>
        <v/>
      </c>
      <c r="M78" s="16">
        <f>IF($A78="","",IF(E78="%",D78&amp;"*"&amp;F78&amp;"%",IF(E78="Fijo por mes",D78&amp;"cap+"&amp;F78&amp;"int/mes",D78&amp;"cap+"&amp;I78&amp;"int"))&amp;IF(G78&gt;1,IF(E78="Fijo por mes"," x ","/")&amp;G78&amp;"mes","")&amp;"  →  "&amp;J78&amp;"cap+"&amp;K78&amp;"int="&amp;L78)</f>
        <v/>
      </c>
      <c r="N78" s="29">
        <f>IF($A78="","",SUMIFS(Cuotas!$F$2:$F$601,Cuotas!$A$2:$A$601,$A78,Cuotas!$I$2:$I$601,"Pendiente"))</f>
        <v/>
      </c>
      <c r="O78" s="29">
        <f>IF($A78="","",SUMIFS(Cuotas!$G$2:$G$601,Cuotas!$A$2:$A$601,$A78,Cuotas!$I$2:$I$601,"Pagado"))</f>
        <v/>
      </c>
      <c r="P78" s="32">
        <f>IF($A78="","",IF(COUNTIFS(Cuotas!$A$2:$A$601,$A78,Cuotas!$I$2:$I$601,"Pendiente")=0,"—",_xlfn.MINIFS(Cuotas!$E$2:$E$601,Cuotas!$A$2:$A$601,$A78,Cuotas!$I$2:$I$601,"Pendiente")))</f>
        <v/>
      </c>
      <c r="Q78" s="18">
        <f>IF($A78="","",COUNTIFS(Cuotas!$A$2:$A$601,$A78,Cuotas!$I$2:$I$601,"Pagado")&amp;"/"&amp;COUNTIFS(Cuotas!$A$2:$A$601,$A78))</f>
        <v/>
      </c>
      <c r="R78" s="16">
        <f>IF($A78="","",IF(COUNTIFS(Cuotas!$A$2:$A$601,$A78,Cuotas!$I$2:$I$601,"Pendiente")=0,"Terminado",IF(P78&lt;TODAY(),"Atrasado","Al día")))</f>
        <v/>
      </c>
    </row>
    <row r="79">
      <c r="A79" s="14" t="n"/>
      <c r="B79" s="14" t="n"/>
      <c r="C79" s="14" t="n"/>
      <c r="D79" s="31" t="n"/>
      <c r="E79" s="14" t="n"/>
      <c r="F79" s="14" t="n"/>
      <c r="G79" s="14" t="n"/>
      <c r="H79" s="14" t="n"/>
      <c r="I79" s="29">
        <f>IF($A79="","",IF(E79="%",D79*F79/100,IF(E79="Fijo por mes",F79*G79,F79)))</f>
        <v/>
      </c>
      <c r="J79" s="29">
        <f>IF($A79="","",ROUNDUP(D79/G79,0))</f>
        <v/>
      </c>
      <c r="K79" s="29">
        <f>IF($A79="","",ROUNDDOWN(I79/G79,0))</f>
        <v/>
      </c>
      <c r="L79" s="29">
        <f>IF($A79="","",J79+K79)</f>
        <v/>
      </c>
      <c r="M79" s="16">
        <f>IF($A79="","",IF(E79="%",D79&amp;"*"&amp;F79&amp;"%",IF(E79="Fijo por mes",D79&amp;"cap+"&amp;F79&amp;"int/mes",D79&amp;"cap+"&amp;I79&amp;"int"))&amp;IF(G79&gt;1,IF(E79="Fijo por mes"," x ","/")&amp;G79&amp;"mes","")&amp;"  →  "&amp;J79&amp;"cap+"&amp;K79&amp;"int="&amp;L79)</f>
        <v/>
      </c>
      <c r="N79" s="29">
        <f>IF($A79="","",SUMIFS(Cuotas!$F$2:$F$601,Cuotas!$A$2:$A$601,$A79,Cuotas!$I$2:$I$601,"Pendiente"))</f>
        <v/>
      </c>
      <c r="O79" s="29">
        <f>IF($A79="","",SUMIFS(Cuotas!$G$2:$G$601,Cuotas!$A$2:$A$601,$A79,Cuotas!$I$2:$I$601,"Pagado"))</f>
        <v/>
      </c>
      <c r="P79" s="32">
        <f>IF($A79="","",IF(COUNTIFS(Cuotas!$A$2:$A$601,$A79,Cuotas!$I$2:$I$601,"Pendiente")=0,"—",_xlfn.MINIFS(Cuotas!$E$2:$E$601,Cuotas!$A$2:$A$601,$A79,Cuotas!$I$2:$I$601,"Pendiente")))</f>
        <v/>
      </c>
      <c r="Q79" s="18">
        <f>IF($A79="","",COUNTIFS(Cuotas!$A$2:$A$601,$A79,Cuotas!$I$2:$I$601,"Pagado")&amp;"/"&amp;COUNTIFS(Cuotas!$A$2:$A$601,$A79))</f>
        <v/>
      </c>
      <c r="R79" s="16">
        <f>IF($A79="","",IF(COUNTIFS(Cuotas!$A$2:$A$601,$A79,Cuotas!$I$2:$I$601,"Pendiente")=0,"Terminado",IF(P79&lt;TODAY(),"Atrasado","Al día")))</f>
        <v/>
      </c>
    </row>
    <row r="80">
      <c r="A80" s="14" t="n"/>
      <c r="B80" s="14" t="n"/>
      <c r="C80" s="14" t="n"/>
      <c r="D80" s="31" t="n"/>
      <c r="E80" s="14" t="n"/>
      <c r="F80" s="14" t="n"/>
      <c r="G80" s="14" t="n"/>
      <c r="H80" s="14" t="n"/>
      <c r="I80" s="29">
        <f>IF($A80="","",IF(E80="%",D80*F80/100,IF(E80="Fijo por mes",F80*G80,F80)))</f>
        <v/>
      </c>
      <c r="J80" s="29">
        <f>IF($A80="","",ROUNDUP(D80/G80,0))</f>
        <v/>
      </c>
      <c r="K80" s="29">
        <f>IF($A80="","",ROUNDDOWN(I80/G80,0))</f>
        <v/>
      </c>
      <c r="L80" s="29">
        <f>IF($A80="","",J80+K80)</f>
        <v/>
      </c>
      <c r="M80" s="16">
        <f>IF($A80="","",IF(E80="%",D80&amp;"*"&amp;F80&amp;"%",IF(E80="Fijo por mes",D80&amp;"cap+"&amp;F80&amp;"int/mes",D80&amp;"cap+"&amp;I80&amp;"int"))&amp;IF(G80&gt;1,IF(E80="Fijo por mes"," x ","/")&amp;G80&amp;"mes","")&amp;"  →  "&amp;J80&amp;"cap+"&amp;K80&amp;"int="&amp;L80)</f>
        <v/>
      </c>
      <c r="N80" s="29">
        <f>IF($A80="","",SUMIFS(Cuotas!$F$2:$F$601,Cuotas!$A$2:$A$601,$A80,Cuotas!$I$2:$I$601,"Pendiente"))</f>
        <v/>
      </c>
      <c r="O80" s="29">
        <f>IF($A80="","",SUMIFS(Cuotas!$G$2:$G$601,Cuotas!$A$2:$A$601,$A80,Cuotas!$I$2:$I$601,"Pagado"))</f>
        <v/>
      </c>
      <c r="P80" s="32">
        <f>IF($A80="","",IF(COUNTIFS(Cuotas!$A$2:$A$601,$A80,Cuotas!$I$2:$I$601,"Pendiente")=0,"—",_xlfn.MINIFS(Cuotas!$E$2:$E$601,Cuotas!$A$2:$A$601,$A80,Cuotas!$I$2:$I$601,"Pendiente")))</f>
        <v/>
      </c>
      <c r="Q80" s="18">
        <f>IF($A80="","",COUNTIFS(Cuotas!$A$2:$A$601,$A80,Cuotas!$I$2:$I$601,"Pagado")&amp;"/"&amp;COUNTIFS(Cuotas!$A$2:$A$601,$A80))</f>
        <v/>
      </c>
      <c r="R80" s="16">
        <f>IF($A80="","",IF(COUNTIFS(Cuotas!$A$2:$A$601,$A80,Cuotas!$I$2:$I$601,"Pendiente")=0,"Terminado",IF(P80&lt;TODAY(),"Atrasado","Al día")))</f>
        <v/>
      </c>
    </row>
    <row r="81">
      <c r="A81" s="14" t="n"/>
      <c r="B81" s="14" t="n"/>
      <c r="C81" s="14" t="n"/>
      <c r="D81" s="31" t="n"/>
      <c r="E81" s="14" t="n"/>
      <c r="F81" s="14" t="n"/>
      <c r="G81" s="14" t="n"/>
      <c r="H81" s="14" t="n"/>
      <c r="I81" s="29">
        <f>IF($A81="","",IF(E81="%",D81*F81/100,IF(E81="Fijo por mes",F81*G81,F81)))</f>
        <v/>
      </c>
      <c r="J81" s="29">
        <f>IF($A81="","",ROUNDUP(D81/G81,0))</f>
        <v/>
      </c>
      <c r="K81" s="29">
        <f>IF($A81="","",ROUNDDOWN(I81/G81,0))</f>
        <v/>
      </c>
      <c r="L81" s="29">
        <f>IF($A81="","",J81+K81)</f>
        <v/>
      </c>
      <c r="M81" s="16">
        <f>IF($A81="","",IF(E81="%",D81&amp;"*"&amp;F81&amp;"%",IF(E81="Fijo por mes",D81&amp;"cap+"&amp;F81&amp;"int/mes",D81&amp;"cap+"&amp;I81&amp;"int"))&amp;IF(G81&gt;1,IF(E81="Fijo por mes"," x ","/")&amp;G81&amp;"mes","")&amp;"  →  "&amp;J81&amp;"cap+"&amp;K81&amp;"int="&amp;L81)</f>
        <v/>
      </c>
      <c r="N81" s="29">
        <f>IF($A81="","",SUMIFS(Cuotas!$F$2:$F$601,Cuotas!$A$2:$A$601,$A81,Cuotas!$I$2:$I$601,"Pendiente"))</f>
        <v/>
      </c>
      <c r="O81" s="29">
        <f>IF($A81="","",SUMIFS(Cuotas!$G$2:$G$601,Cuotas!$A$2:$A$601,$A81,Cuotas!$I$2:$I$601,"Pagado"))</f>
        <v/>
      </c>
      <c r="P81" s="32">
        <f>IF($A81="","",IF(COUNTIFS(Cuotas!$A$2:$A$601,$A81,Cuotas!$I$2:$I$601,"Pendiente")=0,"—",_xlfn.MINIFS(Cuotas!$E$2:$E$601,Cuotas!$A$2:$A$601,$A81,Cuotas!$I$2:$I$601,"Pendiente")))</f>
        <v/>
      </c>
      <c r="Q81" s="18">
        <f>IF($A81="","",COUNTIFS(Cuotas!$A$2:$A$601,$A81,Cuotas!$I$2:$I$601,"Pagado")&amp;"/"&amp;COUNTIFS(Cuotas!$A$2:$A$601,$A81))</f>
        <v/>
      </c>
      <c r="R81" s="16">
        <f>IF($A81="","",IF(COUNTIFS(Cuotas!$A$2:$A$601,$A81,Cuotas!$I$2:$I$601,"Pendiente")=0,"Terminado",IF(P81&lt;TODAY(),"Atrasado","Al día")))</f>
        <v/>
      </c>
    </row>
    <row r="82">
      <c r="A82" s="14" t="n"/>
      <c r="B82" s="14" t="n"/>
      <c r="C82" s="14" t="n"/>
      <c r="D82" s="31" t="n"/>
      <c r="E82" s="14" t="n"/>
      <c r="F82" s="14" t="n"/>
      <c r="G82" s="14" t="n"/>
      <c r="H82" s="14" t="n"/>
      <c r="I82" s="29">
        <f>IF($A82="","",IF(E82="%",D82*F82/100,IF(E82="Fijo por mes",F82*G82,F82)))</f>
        <v/>
      </c>
      <c r="J82" s="29">
        <f>IF($A82="","",ROUNDUP(D82/G82,0))</f>
        <v/>
      </c>
      <c r="K82" s="29">
        <f>IF($A82="","",ROUNDDOWN(I82/G82,0))</f>
        <v/>
      </c>
      <c r="L82" s="29">
        <f>IF($A82="","",J82+K82)</f>
        <v/>
      </c>
      <c r="M82" s="16">
        <f>IF($A82="","",IF(E82="%",D82&amp;"*"&amp;F82&amp;"%",IF(E82="Fijo por mes",D82&amp;"cap+"&amp;F82&amp;"int/mes",D82&amp;"cap+"&amp;I82&amp;"int"))&amp;IF(G82&gt;1,IF(E82="Fijo por mes"," x ","/")&amp;G82&amp;"mes","")&amp;"  →  "&amp;J82&amp;"cap+"&amp;K82&amp;"int="&amp;L82)</f>
        <v/>
      </c>
      <c r="N82" s="29">
        <f>IF($A82="","",SUMIFS(Cuotas!$F$2:$F$601,Cuotas!$A$2:$A$601,$A82,Cuotas!$I$2:$I$601,"Pendiente"))</f>
        <v/>
      </c>
      <c r="O82" s="29">
        <f>IF($A82="","",SUMIFS(Cuotas!$G$2:$G$601,Cuotas!$A$2:$A$601,$A82,Cuotas!$I$2:$I$601,"Pagado"))</f>
        <v/>
      </c>
      <c r="P82" s="32">
        <f>IF($A82="","",IF(COUNTIFS(Cuotas!$A$2:$A$601,$A82,Cuotas!$I$2:$I$601,"Pendiente")=0,"—",_xlfn.MINIFS(Cuotas!$E$2:$E$601,Cuotas!$A$2:$A$601,$A82,Cuotas!$I$2:$I$601,"Pendiente")))</f>
        <v/>
      </c>
      <c r="Q82" s="18">
        <f>IF($A82="","",COUNTIFS(Cuotas!$A$2:$A$601,$A82,Cuotas!$I$2:$I$601,"Pagado")&amp;"/"&amp;COUNTIFS(Cuotas!$A$2:$A$601,$A82))</f>
        <v/>
      </c>
      <c r="R82" s="16">
        <f>IF($A82="","",IF(COUNTIFS(Cuotas!$A$2:$A$601,$A82,Cuotas!$I$2:$I$601,"Pendiente")=0,"Terminado",IF(P82&lt;TODAY(),"Atrasado","Al día")))</f>
        <v/>
      </c>
    </row>
    <row r="83">
      <c r="A83" s="14" t="n"/>
      <c r="B83" s="14" t="n"/>
      <c r="C83" s="14" t="n"/>
      <c r="D83" s="31" t="n"/>
      <c r="E83" s="14" t="n"/>
      <c r="F83" s="14" t="n"/>
      <c r="G83" s="14" t="n"/>
      <c r="H83" s="14" t="n"/>
      <c r="I83" s="29">
        <f>IF($A83="","",IF(E83="%",D83*F83/100,IF(E83="Fijo por mes",F83*G83,F83)))</f>
        <v/>
      </c>
      <c r="J83" s="29">
        <f>IF($A83="","",ROUNDUP(D83/G83,0))</f>
        <v/>
      </c>
      <c r="K83" s="29">
        <f>IF($A83="","",ROUNDDOWN(I83/G83,0))</f>
        <v/>
      </c>
      <c r="L83" s="29">
        <f>IF($A83="","",J83+K83)</f>
        <v/>
      </c>
      <c r="M83" s="16">
        <f>IF($A83="","",IF(E83="%",D83&amp;"*"&amp;F83&amp;"%",IF(E83="Fijo por mes",D83&amp;"cap+"&amp;F83&amp;"int/mes",D83&amp;"cap+"&amp;I83&amp;"int"))&amp;IF(G83&gt;1,IF(E83="Fijo por mes"," x ","/")&amp;G83&amp;"mes","")&amp;"  →  "&amp;J83&amp;"cap+"&amp;K83&amp;"int="&amp;L83)</f>
        <v/>
      </c>
      <c r="N83" s="29">
        <f>IF($A83="","",SUMIFS(Cuotas!$F$2:$F$601,Cuotas!$A$2:$A$601,$A83,Cuotas!$I$2:$I$601,"Pendiente"))</f>
        <v/>
      </c>
      <c r="O83" s="29">
        <f>IF($A83="","",SUMIFS(Cuotas!$G$2:$G$601,Cuotas!$A$2:$A$601,$A83,Cuotas!$I$2:$I$601,"Pagado"))</f>
        <v/>
      </c>
      <c r="P83" s="32">
        <f>IF($A83="","",IF(COUNTIFS(Cuotas!$A$2:$A$601,$A83,Cuotas!$I$2:$I$601,"Pendiente")=0,"—",_xlfn.MINIFS(Cuotas!$E$2:$E$601,Cuotas!$A$2:$A$601,$A83,Cuotas!$I$2:$I$601,"Pendiente")))</f>
        <v/>
      </c>
      <c r="Q83" s="18">
        <f>IF($A83="","",COUNTIFS(Cuotas!$A$2:$A$601,$A83,Cuotas!$I$2:$I$601,"Pagado")&amp;"/"&amp;COUNTIFS(Cuotas!$A$2:$A$601,$A83))</f>
        <v/>
      </c>
      <c r="R83" s="16">
        <f>IF($A83="","",IF(COUNTIFS(Cuotas!$A$2:$A$601,$A83,Cuotas!$I$2:$I$601,"Pendiente")=0,"Terminado",IF(P83&lt;TODAY(),"Atrasado","Al día")))</f>
        <v/>
      </c>
    </row>
    <row r="84">
      <c r="A84" s="14" t="n"/>
      <c r="B84" s="14" t="n"/>
      <c r="C84" s="14" t="n"/>
      <c r="D84" s="31" t="n"/>
      <c r="E84" s="14" t="n"/>
      <c r="F84" s="14" t="n"/>
      <c r="G84" s="14" t="n"/>
      <c r="H84" s="14" t="n"/>
      <c r="I84" s="29">
        <f>IF($A84="","",IF(E84="%",D84*F84/100,IF(E84="Fijo por mes",F84*G84,F84)))</f>
        <v/>
      </c>
      <c r="J84" s="29">
        <f>IF($A84="","",ROUNDUP(D84/G84,0))</f>
        <v/>
      </c>
      <c r="K84" s="29">
        <f>IF($A84="","",ROUNDDOWN(I84/G84,0))</f>
        <v/>
      </c>
      <c r="L84" s="29">
        <f>IF($A84="","",J84+K84)</f>
        <v/>
      </c>
      <c r="M84" s="16">
        <f>IF($A84="","",IF(E84="%",D84&amp;"*"&amp;F84&amp;"%",IF(E84="Fijo por mes",D84&amp;"cap+"&amp;F84&amp;"int/mes",D84&amp;"cap+"&amp;I84&amp;"int"))&amp;IF(G84&gt;1,IF(E84="Fijo por mes"," x ","/")&amp;G84&amp;"mes","")&amp;"  →  "&amp;J84&amp;"cap+"&amp;K84&amp;"int="&amp;L84)</f>
        <v/>
      </c>
      <c r="N84" s="29">
        <f>IF($A84="","",SUMIFS(Cuotas!$F$2:$F$601,Cuotas!$A$2:$A$601,$A84,Cuotas!$I$2:$I$601,"Pendiente"))</f>
        <v/>
      </c>
      <c r="O84" s="29">
        <f>IF($A84="","",SUMIFS(Cuotas!$G$2:$G$601,Cuotas!$A$2:$A$601,$A84,Cuotas!$I$2:$I$601,"Pagado"))</f>
        <v/>
      </c>
      <c r="P84" s="32">
        <f>IF($A84="","",IF(COUNTIFS(Cuotas!$A$2:$A$601,$A84,Cuotas!$I$2:$I$601,"Pendiente")=0,"—",_xlfn.MINIFS(Cuotas!$E$2:$E$601,Cuotas!$A$2:$A$601,$A84,Cuotas!$I$2:$I$601,"Pendiente")))</f>
        <v/>
      </c>
      <c r="Q84" s="18">
        <f>IF($A84="","",COUNTIFS(Cuotas!$A$2:$A$601,$A84,Cuotas!$I$2:$I$601,"Pagado")&amp;"/"&amp;COUNTIFS(Cuotas!$A$2:$A$601,$A84))</f>
        <v/>
      </c>
      <c r="R84" s="16">
        <f>IF($A84="","",IF(COUNTIFS(Cuotas!$A$2:$A$601,$A84,Cuotas!$I$2:$I$601,"Pendiente")=0,"Terminado",IF(P84&lt;TODAY(),"Atrasado","Al día")))</f>
        <v/>
      </c>
    </row>
    <row r="85">
      <c r="A85" s="14" t="n"/>
      <c r="B85" s="14" t="n"/>
      <c r="C85" s="14" t="n"/>
      <c r="D85" s="31" t="n"/>
      <c r="E85" s="14" t="n"/>
      <c r="F85" s="14" t="n"/>
      <c r="G85" s="14" t="n"/>
      <c r="H85" s="14" t="n"/>
      <c r="I85" s="29">
        <f>IF($A85="","",IF(E85="%",D85*F85/100,IF(E85="Fijo por mes",F85*G85,F85)))</f>
        <v/>
      </c>
      <c r="J85" s="29">
        <f>IF($A85="","",ROUNDUP(D85/G85,0))</f>
        <v/>
      </c>
      <c r="K85" s="29">
        <f>IF($A85="","",ROUNDDOWN(I85/G85,0))</f>
        <v/>
      </c>
      <c r="L85" s="29">
        <f>IF($A85="","",J85+K85)</f>
        <v/>
      </c>
      <c r="M85" s="16">
        <f>IF($A85="","",IF(E85="%",D85&amp;"*"&amp;F85&amp;"%",IF(E85="Fijo por mes",D85&amp;"cap+"&amp;F85&amp;"int/mes",D85&amp;"cap+"&amp;I85&amp;"int"))&amp;IF(G85&gt;1,IF(E85="Fijo por mes"," x ","/")&amp;G85&amp;"mes","")&amp;"  →  "&amp;J85&amp;"cap+"&amp;K85&amp;"int="&amp;L85)</f>
        <v/>
      </c>
      <c r="N85" s="29">
        <f>IF($A85="","",SUMIFS(Cuotas!$F$2:$F$601,Cuotas!$A$2:$A$601,$A85,Cuotas!$I$2:$I$601,"Pendiente"))</f>
        <v/>
      </c>
      <c r="O85" s="29">
        <f>IF($A85="","",SUMIFS(Cuotas!$G$2:$G$601,Cuotas!$A$2:$A$601,$A85,Cuotas!$I$2:$I$601,"Pagado"))</f>
        <v/>
      </c>
      <c r="P85" s="32">
        <f>IF($A85="","",IF(COUNTIFS(Cuotas!$A$2:$A$601,$A85,Cuotas!$I$2:$I$601,"Pendiente")=0,"—",_xlfn.MINIFS(Cuotas!$E$2:$E$601,Cuotas!$A$2:$A$601,$A85,Cuotas!$I$2:$I$601,"Pendiente")))</f>
        <v/>
      </c>
      <c r="Q85" s="18">
        <f>IF($A85="","",COUNTIFS(Cuotas!$A$2:$A$601,$A85,Cuotas!$I$2:$I$601,"Pagado")&amp;"/"&amp;COUNTIFS(Cuotas!$A$2:$A$601,$A85))</f>
        <v/>
      </c>
      <c r="R85" s="16">
        <f>IF($A85="","",IF(COUNTIFS(Cuotas!$A$2:$A$601,$A85,Cuotas!$I$2:$I$601,"Pendiente")=0,"Terminado",IF(P85&lt;TODAY(),"Atrasado","Al día")))</f>
        <v/>
      </c>
    </row>
    <row r="86">
      <c r="A86" s="14" t="n"/>
      <c r="B86" s="14" t="n"/>
      <c r="C86" s="14" t="n"/>
      <c r="D86" s="31" t="n"/>
      <c r="E86" s="14" t="n"/>
      <c r="F86" s="14" t="n"/>
      <c r="G86" s="14" t="n"/>
      <c r="H86" s="14" t="n"/>
      <c r="I86" s="29">
        <f>IF($A86="","",IF(E86="%",D86*F86/100,IF(E86="Fijo por mes",F86*G86,F86)))</f>
        <v/>
      </c>
      <c r="J86" s="29">
        <f>IF($A86="","",ROUNDUP(D86/G86,0))</f>
        <v/>
      </c>
      <c r="K86" s="29">
        <f>IF($A86="","",ROUNDDOWN(I86/G86,0))</f>
        <v/>
      </c>
      <c r="L86" s="29">
        <f>IF($A86="","",J86+K86)</f>
        <v/>
      </c>
      <c r="M86" s="16">
        <f>IF($A86="","",IF(E86="%",D86&amp;"*"&amp;F86&amp;"%",IF(E86="Fijo por mes",D86&amp;"cap+"&amp;F86&amp;"int/mes",D86&amp;"cap+"&amp;I86&amp;"int"))&amp;IF(G86&gt;1,IF(E86="Fijo por mes"," x ","/")&amp;G86&amp;"mes","")&amp;"  →  "&amp;J86&amp;"cap+"&amp;K86&amp;"int="&amp;L86)</f>
        <v/>
      </c>
      <c r="N86" s="29">
        <f>IF($A86="","",SUMIFS(Cuotas!$F$2:$F$601,Cuotas!$A$2:$A$601,$A86,Cuotas!$I$2:$I$601,"Pendiente"))</f>
        <v/>
      </c>
      <c r="O86" s="29">
        <f>IF($A86="","",SUMIFS(Cuotas!$G$2:$G$601,Cuotas!$A$2:$A$601,$A86,Cuotas!$I$2:$I$601,"Pagado"))</f>
        <v/>
      </c>
      <c r="P86" s="32">
        <f>IF($A86="","",IF(COUNTIFS(Cuotas!$A$2:$A$601,$A86,Cuotas!$I$2:$I$601,"Pendiente")=0,"—",_xlfn.MINIFS(Cuotas!$E$2:$E$601,Cuotas!$A$2:$A$601,$A86,Cuotas!$I$2:$I$601,"Pendiente")))</f>
        <v/>
      </c>
      <c r="Q86" s="18">
        <f>IF($A86="","",COUNTIFS(Cuotas!$A$2:$A$601,$A86,Cuotas!$I$2:$I$601,"Pagado")&amp;"/"&amp;COUNTIFS(Cuotas!$A$2:$A$601,$A86))</f>
        <v/>
      </c>
      <c r="R86" s="16">
        <f>IF($A86="","",IF(COUNTIFS(Cuotas!$A$2:$A$601,$A86,Cuotas!$I$2:$I$601,"Pendiente")=0,"Terminado",IF(P86&lt;TODAY(),"Atrasado","Al día")))</f>
        <v/>
      </c>
    </row>
    <row r="87">
      <c r="A87" s="14" t="n"/>
      <c r="B87" s="14" t="n"/>
      <c r="C87" s="14" t="n"/>
      <c r="D87" s="31" t="n"/>
      <c r="E87" s="14" t="n"/>
      <c r="F87" s="14" t="n"/>
      <c r="G87" s="14" t="n"/>
      <c r="H87" s="14" t="n"/>
      <c r="I87" s="29">
        <f>IF($A87="","",IF(E87="%",D87*F87/100,IF(E87="Fijo por mes",F87*G87,F87)))</f>
        <v/>
      </c>
      <c r="J87" s="29">
        <f>IF($A87="","",ROUNDUP(D87/G87,0))</f>
        <v/>
      </c>
      <c r="K87" s="29">
        <f>IF($A87="","",ROUNDDOWN(I87/G87,0))</f>
        <v/>
      </c>
      <c r="L87" s="29">
        <f>IF($A87="","",J87+K87)</f>
        <v/>
      </c>
      <c r="M87" s="16">
        <f>IF($A87="","",IF(E87="%",D87&amp;"*"&amp;F87&amp;"%",IF(E87="Fijo por mes",D87&amp;"cap+"&amp;F87&amp;"int/mes",D87&amp;"cap+"&amp;I87&amp;"int"))&amp;IF(G87&gt;1,IF(E87="Fijo por mes"," x ","/")&amp;G87&amp;"mes","")&amp;"  →  "&amp;J87&amp;"cap+"&amp;K87&amp;"int="&amp;L87)</f>
        <v/>
      </c>
      <c r="N87" s="29">
        <f>IF($A87="","",SUMIFS(Cuotas!$F$2:$F$601,Cuotas!$A$2:$A$601,$A87,Cuotas!$I$2:$I$601,"Pendiente"))</f>
        <v/>
      </c>
      <c r="O87" s="29">
        <f>IF($A87="","",SUMIFS(Cuotas!$G$2:$G$601,Cuotas!$A$2:$A$601,$A87,Cuotas!$I$2:$I$601,"Pagado"))</f>
        <v/>
      </c>
      <c r="P87" s="32">
        <f>IF($A87="","",IF(COUNTIFS(Cuotas!$A$2:$A$601,$A87,Cuotas!$I$2:$I$601,"Pendiente")=0,"—",_xlfn.MINIFS(Cuotas!$E$2:$E$601,Cuotas!$A$2:$A$601,$A87,Cuotas!$I$2:$I$601,"Pendiente")))</f>
        <v/>
      </c>
      <c r="Q87" s="18">
        <f>IF($A87="","",COUNTIFS(Cuotas!$A$2:$A$601,$A87,Cuotas!$I$2:$I$601,"Pagado")&amp;"/"&amp;COUNTIFS(Cuotas!$A$2:$A$601,$A87))</f>
        <v/>
      </c>
      <c r="R87" s="16">
        <f>IF($A87="","",IF(COUNTIFS(Cuotas!$A$2:$A$601,$A87,Cuotas!$I$2:$I$601,"Pendiente")=0,"Terminado",IF(P87&lt;TODAY(),"Atrasado","Al día")))</f>
        <v/>
      </c>
    </row>
    <row r="88">
      <c r="A88" s="14" t="n"/>
      <c r="B88" s="14" t="n"/>
      <c r="C88" s="14" t="n"/>
      <c r="D88" s="31" t="n"/>
      <c r="E88" s="14" t="n"/>
      <c r="F88" s="14" t="n"/>
      <c r="G88" s="14" t="n"/>
      <c r="H88" s="14" t="n"/>
      <c r="I88" s="29">
        <f>IF($A88="","",IF(E88="%",D88*F88/100,IF(E88="Fijo por mes",F88*G88,F88)))</f>
        <v/>
      </c>
      <c r="J88" s="29">
        <f>IF($A88="","",ROUNDUP(D88/G88,0))</f>
        <v/>
      </c>
      <c r="K88" s="29">
        <f>IF($A88="","",ROUNDDOWN(I88/G88,0))</f>
        <v/>
      </c>
      <c r="L88" s="29">
        <f>IF($A88="","",J88+K88)</f>
        <v/>
      </c>
      <c r="M88" s="16">
        <f>IF($A88="","",IF(E88="%",D88&amp;"*"&amp;F88&amp;"%",IF(E88="Fijo por mes",D88&amp;"cap+"&amp;F88&amp;"int/mes",D88&amp;"cap+"&amp;I88&amp;"int"))&amp;IF(G88&gt;1,IF(E88="Fijo por mes"," x ","/")&amp;G88&amp;"mes","")&amp;"  →  "&amp;J88&amp;"cap+"&amp;K88&amp;"int="&amp;L88)</f>
        <v/>
      </c>
      <c r="N88" s="29">
        <f>IF($A88="","",SUMIFS(Cuotas!$F$2:$F$601,Cuotas!$A$2:$A$601,$A88,Cuotas!$I$2:$I$601,"Pendiente"))</f>
        <v/>
      </c>
      <c r="O88" s="29">
        <f>IF($A88="","",SUMIFS(Cuotas!$G$2:$G$601,Cuotas!$A$2:$A$601,$A88,Cuotas!$I$2:$I$601,"Pagado"))</f>
        <v/>
      </c>
      <c r="P88" s="32">
        <f>IF($A88="","",IF(COUNTIFS(Cuotas!$A$2:$A$601,$A88,Cuotas!$I$2:$I$601,"Pendiente")=0,"—",_xlfn.MINIFS(Cuotas!$E$2:$E$601,Cuotas!$A$2:$A$601,$A88,Cuotas!$I$2:$I$601,"Pendiente")))</f>
        <v/>
      </c>
      <c r="Q88" s="18">
        <f>IF($A88="","",COUNTIFS(Cuotas!$A$2:$A$601,$A88,Cuotas!$I$2:$I$601,"Pagado")&amp;"/"&amp;COUNTIFS(Cuotas!$A$2:$A$601,$A88))</f>
        <v/>
      </c>
      <c r="R88" s="16">
        <f>IF($A88="","",IF(COUNTIFS(Cuotas!$A$2:$A$601,$A88,Cuotas!$I$2:$I$601,"Pendiente")=0,"Terminado",IF(P88&lt;TODAY(),"Atrasado","Al día")))</f>
        <v/>
      </c>
    </row>
    <row r="89">
      <c r="A89" s="14" t="n"/>
      <c r="B89" s="14" t="n"/>
      <c r="C89" s="14" t="n"/>
      <c r="D89" s="31" t="n"/>
      <c r="E89" s="14" t="n"/>
      <c r="F89" s="14" t="n"/>
      <c r="G89" s="14" t="n"/>
      <c r="H89" s="14" t="n"/>
      <c r="I89" s="29">
        <f>IF($A89="","",IF(E89="%",D89*F89/100,IF(E89="Fijo por mes",F89*G89,F89)))</f>
        <v/>
      </c>
      <c r="J89" s="29">
        <f>IF($A89="","",ROUNDUP(D89/G89,0))</f>
        <v/>
      </c>
      <c r="K89" s="29">
        <f>IF($A89="","",ROUNDDOWN(I89/G89,0))</f>
        <v/>
      </c>
      <c r="L89" s="29">
        <f>IF($A89="","",J89+K89)</f>
        <v/>
      </c>
      <c r="M89" s="16">
        <f>IF($A89="","",IF(E89="%",D89&amp;"*"&amp;F89&amp;"%",IF(E89="Fijo por mes",D89&amp;"cap+"&amp;F89&amp;"int/mes",D89&amp;"cap+"&amp;I89&amp;"int"))&amp;IF(G89&gt;1,IF(E89="Fijo por mes"," x ","/")&amp;G89&amp;"mes","")&amp;"  →  "&amp;J89&amp;"cap+"&amp;K89&amp;"int="&amp;L89)</f>
        <v/>
      </c>
      <c r="N89" s="29">
        <f>IF($A89="","",SUMIFS(Cuotas!$F$2:$F$601,Cuotas!$A$2:$A$601,$A89,Cuotas!$I$2:$I$601,"Pendiente"))</f>
        <v/>
      </c>
      <c r="O89" s="29">
        <f>IF($A89="","",SUMIFS(Cuotas!$G$2:$G$601,Cuotas!$A$2:$A$601,$A89,Cuotas!$I$2:$I$601,"Pagado"))</f>
        <v/>
      </c>
      <c r="P89" s="32">
        <f>IF($A89="","",IF(COUNTIFS(Cuotas!$A$2:$A$601,$A89,Cuotas!$I$2:$I$601,"Pendiente")=0,"—",_xlfn.MINIFS(Cuotas!$E$2:$E$601,Cuotas!$A$2:$A$601,$A89,Cuotas!$I$2:$I$601,"Pendiente")))</f>
        <v/>
      </c>
      <c r="Q89" s="18">
        <f>IF($A89="","",COUNTIFS(Cuotas!$A$2:$A$601,$A89,Cuotas!$I$2:$I$601,"Pagado")&amp;"/"&amp;COUNTIFS(Cuotas!$A$2:$A$601,$A89))</f>
        <v/>
      </c>
      <c r="R89" s="16">
        <f>IF($A89="","",IF(COUNTIFS(Cuotas!$A$2:$A$601,$A89,Cuotas!$I$2:$I$601,"Pendiente")=0,"Terminado",IF(P89&lt;TODAY(),"Atrasado","Al día")))</f>
        <v/>
      </c>
    </row>
    <row r="90">
      <c r="A90" s="14" t="n"/>
      <c r="B90" s="14" t="n"/>
      <c r="C90" s="14" t="n"/>
      <c r="D90" s="31" t="n"/>
      <c r="E90" s="14" t="n"/>
      <c r="F90" s="14" t="n"/>
      <c r="G90" s="14" t="n"/>
      <c r="H90" s="14" t="n"/>
      <c r="I90" s="29">
        <f>IF($A90="","",IF(E90="%",D90*F90/100,IF(E90="Fijo por mes",F90*G90,F90)))</f>
        <v/>
      </c>
      <c r="J90" s="29">
        <f>IF($A90="","",ROUNDUP(D90/G90,0))</f>
        <v/>
      </c>
      <c r="K90" s="29">
        <f>IF($A90="","",ROUNDDOWN(I90/G90,0))</f>
        <v/>
      </c>
      <c r="L90" s="29">
        <f>IF($A90="","",J90+K90)</f>
        <v/>
      </c>
      <c r="M90" s="16">
        <f>IF($A90="","",IF(E90="%",D90&amp;"*"&amp;F90&amp;"%",IF(E90="Fijo por mes",D90&amp;"cap+"&amp;F90&amp;"int/mes",D90&amp;"cap+"&amp;I90&amp;"int"))&amp;IF(G90&gt;1,IF(E90="Fijo por mes"," x ","/")&amp;G90&amp;"mes","")&amp;"  →  "&amp;J90&amp;"cap+"&amp;K90&amp;"int="&amp;L90)</f>
        <v/>
      </c>
      <c r="N90" s="29">
        <f>IF($A90="","",SUMIFS(Cuotas!$F$2:$F$601,Cuotas!$A$2:$A$601,$A90,Cuotas!$I$2:$I$601,"Pendiente"))</f>
        <v/>
      </c>
      <c r="O90" s="29">
        <f>IF($A90="","",SUMIFS(Cuotas!$G$2:$G$601,Cuotas!$A$2:$A$601,$A90,Cuotas!$I$2:$I$601,"Pagado"))</f>
        <v/>
      </c>
      <c r="P90" s="32">
        <f>IF($A90="","",IF(COUNTIFS(Cuotas!$A$2:$A$601,$A90,Cuotas!$I$2:$I$601,"Pendiente")=0,"—",_xlfn.MINIFS(Cuotas!$E$2:$E$601,Cuotas!$A$2:$A$601,$A90,Cuotas!$I$2:$I$601,"Pendiente")))</f>
        <v/>
      </c>
      <c r="Q90" s="18">
        <f>IF($A90="","",COUNTIFS(Cuotas!$A$2:$A$601,$A90,Cuotas!$I$2:$I$601,"Pagado")&amp;"/"&amp;COUNTIFS(Cuotas!$A$2:$A$601,$A90))</f>
        <v/>
      </c>
      <c r="R90" s="16">
        <f>IF($A90="","",IF(COUNTIFS(Cuotas!$A$2:$A$601,$A90,Cuotas!$I$2:$I$601,"Pendiente")=0,"Terminado",IF(P90&lt;TODAY(),"Atrasado","Al día")))</f>
        <v/>
      </c>
    </row>
    <row r="91">
      <c r="A91" s="14" t="n"/>
      <c r="B91" s="14" t="n"/>
      <c r="C91" s="14" t="n"/>
      <c r="D91" s="31" t="n"/>
      <c r="E91" s="14" t="n"/>
      <c r="F91" s="14" t="n"/>
      <c r="G91" s="14" t="n"/>
      <c r="H91" s="14" t="n"/>
      <c r="I91" s="29">
        <f>IF($A91="","",IF(E91="%",D91*F91/100,IF(E91="Fijo por mes",F91*G91,F91)))</f>
        <v/>
      </c>
      <c r="J91" s="29">
        <f>IF($A91="","",ROUNDUP(D91/G91,0))</f>
        <v/>
      </c>
      <c r="K91" s="29">
        <f>IF($A91="","",ROUNDDOWN(I91/G91,0))</f>
        <v/>
      </c>
      <c r="L91" s="29">
        <f>IF($A91="","",J91+K91)</f>
        <v/>
      </c>
      <c r="M91" s="16">
        <f>IF($A91="","",IF(E91="%",D91&amp;"*"&amp;F91&amp;"%",IF(E91="Fijo por mes",D91&amp;"cap+"&amp;F91&amp;"int/mes",D91&amp;"cap+"&amp;I91&amp;"int"))&amp;IF(G91&gt;1,IF(E91="Fijo por mes"," x ","/")&amp;G91&amp;"mes","")&amp;"  →  "&amp;J91&amp;"cap+"&amp;K91&amp;"int="&amp;L91)</f>
        <v/>
      </c>
      <c r="N91" s="29">
        <f>IF($A91="","",SUMIFS(Cuotas!$F$2:$F$601,Cuotas!$A$2:$A$601,$A91,Cuotas!$I$2:$I$601,"Pendiente"))</f>
        <v/>
      </c>
      <c r="O91" s="29">
        <f>IF($A91="","",SUMIFS(Cuotas!$G$2:$G$601,Cuotas!$A$2:$A$601,$A91,Cuotas!$I$2:$I$601,"Pagado"))</f>
        <v/>
      </c>
      <c r="P91" s="32">
        <f>IF($A91="","",IF(COUNTIFS(Cuotas!$A$2:$A$601,$A91,Cuotas!$I$2:$I$601,"Pendiente")=0,"—",_xlfn.MINIFS(Cuotas!$E$2:$E$601,Cuotas!$A$2:$A$601,$A91,Cuotas!$I$2:$I$601,"Pendiente")))</f>
        <v/>
      </c>
      <c r="Q91" s="18">
        <f>IF($A91="","",COUNTIFS(Cuotas!$A$2:$A$601,$A91,Cuotas!$I$2:$I$601,"Pagado")&amp;"/"&amp;COUNTIFS(Cuotas!$A$2:$A$601,$A91))</f>
        <v/>
      </c>
      <c r="R91" s="16">
        <f>IF($A91="","",IF(COUNTIFS(Cuotas!$A$2:$A$601,$A91,Cuotas!$I$2:$I$601,"Pendiente")=0,"Terminado",IF(P91&lt;TODAY(),"Atrasado","Al día")))</f>
        <v/>
      </c>
    </row>
    <row r="92">
      <c r="A92" s="14" t="n"/>
      <c r="B92" s="14" t="n"/>
      <c r="C92" s="14" t="n"/>
      <c r="D92" s="31" t="n"/>
      <c r="E92" s="14" t="n"/>
      <c r="F92" s="14" t="n"/>
      <c r="G92" s="14" t="n"/>
      <c r="H92" s="14" t="n"/>
      <c r="I92" s="29">
        <f>IF($A92="","",IF(E92="%",D92*F92/100,IF(E92="Fijo por mes",F92*G92,F92)))</f>
        <v/>
      </c>
      <c r="J92" s="29">
        <f>IF($A92="","",ROUNDUP(D92/G92,0))</f>
        <v/>
      </c>
      <c r="K92" s="29">
        <f>IF($A92="","",ROUNDDOWN(I92/G92,0))</f>
        <v/>
      </c>
      <c r="L92" s="29">
        <f>IF($A92="","",J92+K92)</f>
        <v/>
      </c>
      <c r="M92" s="16">
        <f>IF($A92="","",IF(E92="%",D92&amp;"*"&amp;F92&amp;"%",IF(E92="Fijo por mes",D92&amp;"cap+"&amp;F92&amp;"int/mes",D92&amp;"cap+"&amp;I92&amp;"int"))&amp;IF(G92&gt;1,IF(E92="Fijo por mes"," x ","/")&amp;G92&amp;"mes","")&amp;"  →  "&amp;J92&amp;"cap+"&amp;K92&amp;"int="&amp;L92)</f>
        <v/>
      </c>
      <c r="N92" s="29">
        <f>IF($A92="","",SUMIFS(Cuotas!$F$2:$F$601,Cuotas!$A$2:$A$601,$A92,Cuotas!$I$2:$I$601,"Pendiente"))</f>
        <v/>
      </c>
      <c r="O92" s="29">
        <f>IF($A92="","",SUMIFS(Cuotas!$G$2:$G$601,Cuotas!$A$2:$A$601,$A92,Cuotas!$I$2:$I$601,"Pagado"))</f>
        <v/>
      </c>
      <c r="P92" s="32">
        <f>IF($A92="","",IF(COUNTIFS(Cuotas!$A$2:$A$601,$A92,Cuotas!$I$2:$I$601,"Pendiente")=0,"—",_xlfn.MINIFS(Cuotas!$E$2:$E$601,Cuotas!$A$2:$A$601,$A92,Cuotas!$I$2:$I$601,"Pendiente")))</f>
        <v/>
      </c>
      <c r="Q92" s="18">
        <f>IF($A92="","",COUNTIFS(Cuotas!$A$2:$A$601,$A92,Cuotas!$I$2:$I$601,"Pagado")&amp;"/"&amp;COUNTIFS(Cuotas!$A$2:$A$601,$A92))</f>
        <v/>
      </c>
      <c r="R92" s="16">
        <f>IF($A92="","",IF(COUNTIFS(Cuotas!$A$2:$A$601,$A92,Cuotas!$I$2:$I$601,"Pendiente")=0,"Terminado",IF(P92&lt;TODAY(),"Atrasado","Al día")))</f>
        <v/>
      </c>
    </row>
    <row r="93">
      <c r="A93" s="14" t="n"/>
      <c r="B93" s="14" t="n"/>
      <c r="C93" s="14" t="n"/>
      <c r="D93" s="31" t="n"/>
      <c r="E93" s="14" t="n"/>
      <c r="F93" s="14" t="n"/>
      <c r="G93" s="14" t="n"/>
      <c r="H93" s="14" t="n"/>
      <c r="I93" s="29">
        <f>IF($A93="","",IF(E93="%",D93*F93/100,IF(E93="Fijo por mes",F93*G93,F93)))</f>
        <v/>
      </c>
      <c r="J93" s="29">
        <f>IF($A93="","",ROUNDUP(D93/G93,0))</f>
        <v/>
      </c>
      <c r="K93" s="29">
        <f>IF($A93="","",ROUNDDOWN(I93/G93,0))</f>
        <v/>
      </c>
      <c r="L93" s="29">
        <f>IF($A93="","",J93+K93)</f>
        <v/>
      </c>
      <c r="M93" s="16">
        <f>IF($A93="","",IF(E93="%",D93&amp;"*"&amp;F93&amp;"%",IF(E93="Fijo por mes",D93&amp;"cap+"&amp;F93&amp;"int/mes",D93&amp;"cap+"&amp;I93&amp;"int"))&amp;IF(G93&gt;1,IF(E93="Fijo por mes"," x ","/")&amp;G93&amp;"mes","")&amp;"  →  "&amp;J93&amp;"cap+"&amp;K93&amp;"int="&amp;L93)</f>
        <v/>
      </c>
      <c r="N93" s="29">
        <f>IF($A93="","",SUMIFS(Cuotas!$F$2:$F$601,Cuotas!$A$2:$A$601,$A93,Cuotas!$I$2:$I$601,"Pendiente"))</f>
        <v/>
      </c>
      <c r="O93" s="29">
        <f>IF($A93="","",SUMIFS(Cuotas!$G$2:$G$601,Cuotas!$A$2:$A$601,$A93,Cuotas!$I$2:$I$601,"Pagado"))</f>
        <v/>
      </c>
      <c r="P93" s="32">
        <f>IF($A93="","",IF(COUNTIFS(Cuotas!$A$2:$A$601,$A93,Cuotas!$I$2:$I$601,"Pendiente")=0,"—",_xlfn.MINIFS(Cuotas!$E$2:$E$601,Cuotas!$A$2:$A$601,$A93,Cuotas!$I$2:$I$601,"Pendiente")))</f>
        <v/>
      </c>
      <c r="Q93" s="18">
        <f>IF($A93="","",COUNTIFS(Cuotas!$A$2:$A$601,$A93,Cuotas!$I$2:$I$601,"Pagado")&amp;"/"&amp;COUNTIFS(Cuotas!$A$2:$A$601,$A93))</f>
        <v/>
      </c>
      <c r="R93" s="16">
        <f>IF($A93="","",IF(COUNTIFS(Cuotas!$A$2:$A$601,$A93,Cuotas!$I$2:$I$601,"Pendiente")=0,"Terminado",IF(P93&lt;TODAY(),"Atrasado","Al día")))</f>
        <v/>
      </c>
    </row>
    <row r="94">
      <c r="A94" s="14" t="n"/>
      <c r="B94" s="14" t="n"/>
      <c r="C94" s="14" t="n"/>
      <c r="D94" s="31" t="n"/>
      <c r="E94" s="14" t="n"/>
      <c r="F94" s="14" t="n"/>
      <c r="G94" s="14" t="n"/>
      <c r="H94" s="14" t="n"/>
      <c r="I94" s="29">
        <f>IF($A94="","",IF(E94="%",D94*F94/100,IF(E94="Fijo por mes",F94*G94,F94)))</f>
        <v/>
      </c>
      <c r="J94" s="29">
        <f>IF($A94="","",ROUNDUP(D94/G94,0))</f>
        <v/>
      </c>
      <c r="K94" s="29">
        <f>IF($A94="","",ROUNDDOWN(I94/G94,0))</f>
        <v/>
      </c>
      <c r="L94" s="29">
        <f>IF($A94="","",J94+K94)</f>
        <v/>
      </c>
      <c r="M94" s="16">
        <f>IF($A94="","",IF(E94="%",D94&amp;"*"&amp;F94&amp;"%",IF(E94="Fijo por mes",D94&amp;"cap+"&amp;F94&amp;"int/mes",D94&amp;"cap+"&amp;I94&amp;"int"))&amp;IF(G94&gt;1,IF(E94="Fijo por mes"," x ","/")&amp;G94&amp;"mes","")&amp;"  →  "&amp;J94&amp;"cap+"&amp;K94&amp;"int="&amp;L94)</f>
        <v/>
      </c>
      <c r="N94" s="29">
        <f>IF($A94="","",SUMIFS(Cuotas!$F$2:$F$601,Cuotas!$A$2:$A$601,$A94,Cuotas!$I$2:$I$601,"Pendiente"))</f>
        <v/>
      </c>
      <c r="O94" s="29">
        <f>IF($A94="","",SUMIFS(Cuotas!$G$2:$G$601,Cuotas!$A$2:$A$601,$A94,Cuotas!$I$2:$I$601,"Pagado"))</f>
        <v/>
      </c>
      <c r="P94" s="32">
        <f>IF($A94="","",IF(COUNTIFS(Cuotas!$A$2:$A$601,$A94,Cuotas!$I$2:$I$601,"Pendiente")=0,"—",_xlfn.MINIFS(Cuotas!$E$2:$E$601,Cuotas!$A$2:$A$601,$A94,Cuotas!$I$2:$I$601,"Pendiente")))</f>
        <v/>
      </c>
      <c r="Q94" s="18">
        <f>IF($A94="","",COUNTIFS(Cuotas!$A$2:$A$601,$A94,Cuotas!$I$2:$I$601,"Pagado")&amp;"/"&amp;COUNTIFS(Cuotas!$A$2:$A$601,$A94))</f>
        <v/>
      </c>
      <c r="R94" s="16">
        <f>IF($A94="","",IF(COUNTIFS(Cuotas!$A$2:$A$601,$A94,Cuotas!$I$2:$I$601,"Pendiente")=0,"Terminado",IF(P94&lt;TODAY(),"Atrasado","Al día")))</f>
        <v/>
      </c>
    </row>
    <row r="95">
      <c r="A95" s="14" t="n"/>
      <c r="B95" s="14" t="n"/>
      <c r="C95" s="14" t="n"/>
      <c r="D95" s="31" t="n"/>
      <c r="E95" s="14" t="n"/>
      <c r="F95" s="14" t="n"/>
      <c r="G95" s="14" t="n"/>
      <c r="H95" s="14" t="n"/>
      <c r="I95" s="29">
        <f>IF($A95="","",IF(E95="%",D95*F95/100,IF(E95="Fijo por mes",F95*G95,F95)))</f>
        <v/>
      </c>
      <c r="J95" s="29">
        <f>IF($A95="","",ROUNDUP(D95/G95,0))</f>
        <v/>
      </c>
      <c r="K95" s="29">
        <f>IF($A95="","",ROUNDDOWN(I95/G95,0))</f>
        <v/>
      </c>
      <c r="L95" s="29">
        <f>IF($A95="","",J95+K95)</f>
        <v/>
      </c>
      <c r="M95" s="16">
        <f>IF($A95="","",IF(E95="%",D95&amp;"*"&amp;F95&amp;"%",IF(E95="Fijo por mes",D95&amp;"cap+"&amp;F95&amp;"int/mes",D95&amp;"cap+"&amp;I95&amp;"int"))&amp;IF(G95&gt;1,IF(E95="Fijo por mes"," x ","/")&amp;G95&amp;"mes","")&amp;"  →  "&amp;J95&amp;"cap+"&amp;K95&amp;"int="&amp;L95)</f>
        <v/>
      </c>
      <c r="N95" s="29">
        <f>IF($A95="","",SUMIFS(Cuotas!$F$2:$F$601,Cuotas!$A$2:$A$601,$A95,Cuotas!$I$2:$I$601,"Pendiente"))</f>
        <v/>
      </c>
      <c r="O95" s="29">
        <f>IF($A95="","",SUMIFS(Cuotas!$G$2:$G$601,Cuotas!$A$2:$A$601,$A95,Cuotas!$I$2:$I$601,"Pagado"))</f>
        <v/>
      </c>
      <c r="P95" s="32">
        <f>IF($A95="","",IF(COUNTIFS(Cuotas!$A$2:$A$601,$A95,Cuotas!$I$2:$I$601,"Pendiente")=0,"—",_xlfn.MINIFS(Cuotas!$E$2:$E$601,Cuotas!$A$2:$A$601,$A95,Cuotas!$I$2:$I$601,"Pendiente")))</f>
        <v/>
      </c>
      <c r="Q95" s="18">
        <f>IF($A95="","",COUNTIFS(Cuotas!$A$2:$A$601,$A95,Cuotas!$I$2:$I$601,"Pagado")&amp;"/"&amp;COUNTIFS(Cuotas!$A$2:$A$601,$A95))</f>
        <v/>
      </c>
      <c r="R95" s="16">
        <f>IF($A95="","",IF(COUNTIFS(Cuotas!$A$2:$A$601,$A95,Cuotas!$I$2:$I$601,"Pendiente")=0,"Terminado",IF(P95&lt;TODAY(),"Atrasado","Al día")))</f>
        <v/>
      </c>
    </row>
    <row r="96">
      <c r="A96" s="14" t="n"/>
      <c r="B96" s="14" t="n"/>
      <c r="C96" s="14" t="n"/>
      <c r="D96" s="31" t="n"/>
      <c r="E96" s="14" t="n"/>
      <c r="F96" s="14" t="n"/>
      <c r="G96" s="14" t="n"/>
      <c r="H96" s="14" t="n"/>
      <c r="I96" s="29">
        <f>IF($A96="","",IF(E96="%",D96*F96/100,IF(E96="Fijo por mes",F96*G96,F96)))</f>
        <v/>
      </c>
      <c r="J96" s="29">
        <f>IF($A96="","",ROUNDUP(D96/G96,0))</f>
        <v/>
      </c>
      <c r="K96" s="29">
        <f>IF($A96="","",ROUNDDOWN(I96/G96,0))</f>
        <v/>
      </c>
      <c r="L96" s="29">
        <f>IF($A96="","",J96+K96)</f>
        <v/>
      </c>
      <c r="M96" s="16">
        <f>IF($A96="","",IF(E96="%",D96&amp;"*"&amp;F96&amp;"%",IF(E96="Fijo por mes",D96&amp;"cap+"&amp;F96&amp;"int/mes",D96&amp;"cap+"&amp;I96&amp;"int"))&amp;IF(G96&gt;1,IF(E96="Fijo por mes"," x ","/")&amp;G96&amp;"mes","")&amp;"  →  "&amp;J96&amp;"cap+"&amp;K96&amp;"int="&amp;L96)</f>
        <v/>
      </c>
      <c r="N96" s="29">
        <f>IF($A96="","",SUMIFS(Cuotas!$F$2:$F$601,Cuotas!$A$2:$A$601,$A96,Cuotas!$I$2:$I$601,"Pendiente"))</f>
        <v/>
      </c>
      <c r="O96" s="29">
        <f>IF($A96="","",SUMIFS(Cuotas!$G$2:$G$601,Cuotas!$A$2:$A$601,$A96,Cuotas!$I$2:$I$601,"Pagado"))</f>
        <v/>
      </c>
      <c r="P96" s="32">
        <f>IF($A96="","",IF(COUNTIFS(Cuotas!$A$2:$A$601,$A96,Cuotas!$I$2:$I$601,"Pendiente")=0,"—",_xlfn.MINIFS(Cuotas!$E$2:$E$601,Cuotas!$A$2:$A$601,$A96,Cuotas!$I$2:$I$601,"Pendiente")))</f>
        <v/>
      </c>
      <c r="Q96" s="18">
        <f>IF($A96="","",COUNTIFS(Cuotas!$A$2:$A$601,$A96,Cuotas!$I$2:$I$601,"Pagado")&amp;"/"&amp;COUNTIFS(Cuotas!$A$2:$A$601,$A96))</f>
        <v/>
      </c>
      <c r="R96" s="16">
        <f>IF($A96="","",IF(COUNTIFS(Cuotas!$A$2:$A$601,$A96,Cuotas!$I$2:$I$601,"Pendiente")=0,"Terminado",IF(P96&lt;TODAY(),"Atrasado","Al día")))</f>
        <v/>
      </c>
    </row>
    <row r="97">
      <c r="A97" s="14" t="n"/>
      <c r="B97" s="14" t="n"/>
      <c r="C97" s="14" t="n"/>
      <c r="D97" s="31" t="n"/>
      <c r="E97" s="14" t="n"/>
      <c r="F97" s="14" t="n"/>
      <c r="G97" s="14" t="n"/>
      <c r="H97" s="14" t="n"/>
      <c r="I97" s="29">
        <f>IF($A97="","",IF(E97="%",D97*F97/100,IF(E97="Fijo por mes",F97*G97,F97)))</f>
        <v/>
      </c>
      <c r="J97" s="29">
        <f>IF($A97="","",ROUNDUP(D97/G97,0))</f>
        <v/>
      </c>
      <c r="K97" s="29">
        <f>IF($A97="","",ROUNDDOWN(I97/G97,0))</f>
        <v/>
      </c>
      <c r="L97" s="29">
        <f>IF($A97="","",J97+K97)</f>
        <v/>
      </c>
      <c r="M97" s="16">
        <f>IF($A97="","",IF(E97="%",D97&amp;"*"&amp;F97&amp;"%",IF(E97="Fijo por mes",D97&amp;"cap+"&amp;F97&amp;"int/mes",D97&amp;"cap+"&amp;I97&amp;"int"))&amp;IF(G97&gt;1,IF(E97="Fijo por mes"," x ","/")&amp;G97&amp;"mes","")&amp;"  →  "&amp;J97&amp;"cap+"&amp;K97&amp;"int="&amp;L97)</f>
        <v/>
      </c>
      <c r="N97" s="29">
        <f>IF($A97="","",SUMIFS(Cuotas!$F$2:$F$601,Cuotas!$A$2:$A$601,$A97,Cuotas!$I$2:$I$601,"Pendiente"))</f>
        <v/>
      </c>
      <c r="O97" s="29">
        <f>IF($A97="","",SUMIFS(Cuotas!$G$2:$G$601,Cuotas!$A$2:$A$601,$A97,Cuotas!$I$2:$I$601,"Pagado"))</f>
        <v/>
      </c>
      <c r="P97" s="32">
        <f>IF($A97="","",IF(COUNTIFS(Cuotas!$A$2:$A$601,$A97,Cuotas!$I$2:$I$601,"Pendiente")=0,"—",_xlfn.MINIFS(Cuotas!$E$2:$E$601,Cuotas!$A$2:$A$601,$A97,Cuotas!$I$2:$I$601,"Pendiente")))</f>
        <v/>
      </c>
      <c r="Q97" s="18">
        <f>IF($A97="","",COUNTIFS(Cuotas!$A$2:$A$601,$A97,Cuotas!$I$2:$I$601,"Pagado")&amp;"/"&amp;COUNTIFS(Cuotas!$A$2:$A$601,$A97))</f>
        <v/>
      </c>
      <c r="R97" s="16">
        <f>IF($A97="","",IF(COUNTIFS(Cuotas!$A$2:$A$601,$A97,Cuotas!$I$2:$I$601,"Pendiente")=0,"Terminado",IF(P97&lt;TODAY(),"Atrasado","Al día")))</f>
        <v/>
      </c>
    </row>
    <row r="98">
      <c r="A98" s="14" t="n"/>
      <c r="B98" s="14" t="n"/>
      <c r="C98" s="14" t="n"/>
      <c r="D98" s="31" t="n"/>
      <c r="E98" s="14" t="n"/>
      <c r="F98" s="14" t="n"/>
      <c r="G98" s="14" t="n"/>
      <c r="H98" s="14" t="n"/>
      <c r="I98" s="29">
        <f>IF($A98="","",IF(E98="%",D98*F98/100,IF(E98="Fijo por mes",F98*G98,F98)))</f>
        <v/>
      </c>
      <c r="J98" s="29">
        <f>IF($A98="","",ROUNDUP(D98/G98,0))</f>
        <v/>
      </c>
      <c r="K98" s="29">
        <f>IF($A98="","",ROUNDDOWN(I98/G98,0))</f>
        <v/>
      </c>
      <c r="L98" s="29">
        <f>IF($A98="","",J98+K98)</f>
        <v/>
      </c>
      <c r="M98" s="16">
        <f>IF($A98="","",IF(E98="%",D98&amp;"*"&amp;F98&amp;"%",IF(E98="Fijo por mes",D98&amp;"cap+"&amp;F98&amp;"int/mes",D98&amp;"cap+"&amp;I98&amp;"int"))&amp;IF(G98&gt;1,IF(E98="Fijo por mes"," x ","/")&amp;G98&amp;"mes","")&amp;"  →  "&amp;J98&amp;"cap+"&amp;K98&amp;"int="&amp;L98)</f>
        <v/>
      </c>
      <c r="N98" s="29">
        <f>IF($A98="","",SUMIFS(Cuotas!$F$2:$F$601,Cuotas!$A$2:$A$601,$A98,Cuotas!$I$2:$I$601,"Pendiente"))</f>
        <v/>
      </c>
      <c r="O98" s="29">
        <f>IF($A98="","",SUMIFS(Cuotas!$G$2:$G$601,Cuotas!$A$2:$A$601,$A98,Cuotas!$I$2:$I$601,"Pagado"))</f>
        <v/>
      </c>
      <c r="P98" s="32">
        <f>IF($A98="","",IF(COUNTIFS(Cuotas!$A$2:$A$601,$A98,Cuotas!$I$2:$I$601,"Pendiente")=0,"—",_xlfn.MINIFS(Cuotas!$E$2:$E$601,Cuotas!$A$2:$A$601,$A98,Cuotas!$I$2:$I$601,"Pendiente")))</f>
        <v/>
      </c>
      <c r="Q98" s="18">
        <f>IF($A98="","",COUNTIFS(Cuotas!$A$2:$A$601,$A98,Cuotas!$I$2:$I$601,"Pagado")&amp;"/"&amp;COUNTIFS(Cuotas!$A$2:$A$601,$A98))</f>
        <v/>
      </c>
      <c r="R98" s="16">
        <f>IF($A98="","",IF(COUNTIFS(Cuotas!$A$2:$A$601,$A98,Cuotas!$I$2:$I$601,"Pendiente")=0,"Terminado",IF(P98&lt;TODAY(),"Atrasado","Al día")))</f>
        <v/>
      </c>
    </row>
    <row r="99">
      <c r="A99" s="14" t="n"/>
      <c r="B99" s="14" t="n"/>
      <c r="C99" s="14" t="n"/>
      <c r="D99" s="31" t="n"/>
      <c r="E99" s="14" t="n"/>
      <c r="F99" s="14" t="n"/>
      <c r="G99" s="14" t="n"/>
      <c r="H99" s="14" t="n"/>
      <c r="I99" s="29">
        <f>IF($A99="","",IF(E99="%",D99*F99/100,IF(E99="Fijo por mes",F99*G99,F99)))</f>
        <v/>
      </c>
      <c r="J99" s="29">
        <f>IF($A99="","",ROUNDUP(D99/G99,0))</f>
        <v/>
      </c>
      <c r="K99" s="29">
        <f>IF($A99="","",ROUNDDOWN(I99/G99,0))</f>
        <v/>
      </c>
      <c r="L99" s="29">
        <f>IF($A99="","",J99+K99)</f>
        <v/>
      </c>
      <c r="M99" s="16">
        <f>IF($A99="","",IF(E99="%",D99&amp;"*"&amp;F99&amp;"%",IF(E99="Fijo por mes",D99&amp;"cap+"&amp;F99&amp;"int/mes",D99&amp;"cap+"&amp;I99&amp;"int"))&amp;IF(G99&gt;1,IF(E99="Fijo por mes"," x ","/")&amp;G99&amp;"mes","")&amp;"  →  "&amp;J99&amp;"cap+"&amp;K99&amp;"int="&amp;L99)</f>
        <v/>
      </c>
      <c r="N99" s="29">
        <f>IF($A99="","",SUMIFS(Cuotas!$F$2:$F$601,Cuotas!$A$2:$A$601,$A99,Cuotas!$I$2:$I$601,"Pendiente"))</f>
        <v/>
      </c>
      <c r="O99" s="29">
        <f>IF($A99="","",SUMIFS(Cuotas!$G$2:$G$601,Cuotas!$A$2:$A$601,$A99,Cuotas!$I$2:$I$601,"Pagado"))</f>
        <v/>
      </c>
      <c r="P99" s="32">
        <f>IF($A99="","",IF(COUNTIFS(Cuotas!$A$2:$A$601,$A99,Cuotas!$I$2:$I$601,"Pendiente")=0,"—",_xlfn.MINIFS(Cuotas!$E$2:$E$601,Cuotas!$A$2:$A$601,$A99,Cuotas!$I$2:$I$601,"Pendiente")))</f>
        <v/>
      </c>
      <c r="Q99" s="18">
        <f>IF($A99="","",COUNTIFS(Cuotas!$A$2:$A$601,$A99,Cuotas!$I$2:$I$601,"Pagado")&amp;"/"&amp;COUNTIFS(Cuotas!$A$2:$A$601,$A99))</f>
        <v/>
      </c>
      <c r="R99" s="16">
        <f>IF($A99="","",IF(COUNTIFS(Cuotas!$A$2:$A$601,$A99,Cuotas!$I$2:$I$601,"Pendiente")=0,"Terminado",IF(P99&lt;TODAY(),"Atrasado","Al día")))</f>
        <v/>
      </c>
    </row>
    <row r="100">
      <c r="A100" s="14" t="n"/>
      <c r="B100" s="14" t="n"/>
      <c r="C100" s="14" t="n"/>
      <c r="D100" s="31" t="n"/>
      <c r="E100" s="14" t="n"/>
      <c r="F100" s="14" t="n"/>
      <c r="G100" s="14" t="n"/>
      <c r="H100" s="14" t="n"/>
      <c r="I100" s="29">
        <f>IF($A100="","",IF(E100="%",D100*F100/100,IF(E100="Fijo por mes",F100*G100,F100)))</f>
        <v/>
      </c>
      <c r="J100" s="29">
        <f>IF($A100="","",ROUNDUP(D100/G100,0))</f>
        <v/>
      </c>
      <c r="K100" s="29">
        <f>IF($A100="","",ROUNDDOWN(I100/G100,0))</f>
        <v/>
      </c>
      <c r="L100" s="29">
        <f>IF($A100="","",J100+K100)</f>
        <v/>
      </c>
      <c r="M100" s="16">
        <f>IF($A100="","",IF(E100="%",D100&amp;"*"&amp;F100&amp;"%",IF(E100="Fijo por mes",D100&amp;"cap+"&amp;F100&amp;"int/mes",D100&amp;"cap+"&amp;I100&amp;"int"))&amp;IF(G100&gt;1,IF(E100="Fijo por mes"," x ","/")&amp;G100&amp;"mes","")&amp;"  →  "&amp;J100&amp;"cap+"&amp;K100&amp;"int="&amp;L100)</f>
        <v/>
      </c>
      <c r="N100" s="29">
        <f>IF($A100="","",SUMIFS(Cuotas!$F$2:$F$601,Cuotas!$A$2:$A$601,$A100,Cuotas!$I$2:$I$601,"Pendiente"))</f>
        <v/>
      </c>
      <c r="O100" s="29">
        <f>IF($A100="","",SUMIFS(Cuotas!$G$2:$G$601,Cuotas!$A$2:$A$601,$A100,Cuotas!$I$2:$I$601,"Pagado"))</f>
        <v/>
      </c>
      <c r="P100" s="32">
        <f>IF($A100="","",IF(COUNTIFS(Cuotas!$A$2:$A$601,$A100,Cuotas!$I$2:$I$601,"Pendiente")=0,"—",_xlfn.MINIFS(Cuotas!$E$2:$E$601,Cuotas!$A$2:$A$601,$A100,Cuotas!$I$2:$I$601,"Pendiente")))</f>
        <v/>
      </c>
      <c r="Q100" s="18">
        <f>IF($A100="","",COUNTIFS(Cuotas!$A$2:$A$601,$A100,Cuotas!$I$2:$I$601,"Pagado")&amp;"/"&amp;COUNTIFS(Cuotas!$A$2:$A$601,$A100))</f>
        <v/>
      </c>
      <c r="R100" s="16">
        <f>IF($A100="","",IF(COUNTIFS(Cuotas!$A$2:$A$601,$A100,Cuotas!$I$2:$I$601,"Pendiente")=0,"Terminado",IF(P100&lt;TODAY(),"Atrasado","Al día")))</f>
        <v/>
      </c>
    </row>
    <row r="101">
      <c r="A101" s="14" t="n"/>
      <c r="B101" s="14" t="n"/>
      <c r="C101" s="14" t="n"/>
      <c r="D101" s="31" t="n"/>
      <c r="E101" s="14" t="n"/>
      <c r="F101" s="14" t="n"/>
      <c r="G101" s="14" t="n"/>
      <c r="H101" s="14" t="n"/>
      <c r="I101" s="29">
        <f>IF($A101="","",IF(E101="%",D101*F101/100,IF(E101="Fijo por mes",F101*G101,F101)))</f>
        <v/>
      </c>
      <c r="J101" s="29">
        <f>IF($A101="","",ROUNDUP(D101/G101,0))</f>
        <v/>
      </c>
      <c r="K101" s="29">
        <f>IF($A101="","",ROUNDDOWN(I101/G101,0))</f>
        <v/>
      </c>
      <c r="L101" s="29">
        <f>IF($A101="","",J101+K101)</f>
        <v/>
      </c>
      <c r="M101" s="16">
        <f>IF($A101="","",IF(E101="%",D101&amp;"*"&amp;F101&amp;"%",IF(E101="Fijo por mes",D101&amp;"cap+"&amp;F101&amp;"int/mes",D101&amp;"cap+"&amp;I101&amp;"int"))&amp;IF(G101&gt;1,IF(E101="Fijo por mes"," x ","/")&amp;G101&amp;"mes","")&amp;"  →  "&amp;J101&amp;"cap+"&amp;K101&amp;"int="&amp;L101)</f>
        <v/>
      </c>
      <c r="N101" s="29">
        <f>IF($A101="","",SUMIFS(Cuotas!$F$2:$F$601,Cuotas!$A$2:$A$601,$A101,Cuotas!$I$2:$I$601,"Pendiente"))</f>
        <v/>
      </c>
      <c r="O101" s="29">
        <f>IF($A101="","",SUMIFS(Cuotas!$G$2:$G$601,Cuotas!$A$2:$A$601,$A101,Cuotas!$I$2:$I$601,"Pagado"))</f>
        <v/>
      </c>
      <c r="P101" s="32">
        <f>IF($A101="","",IF(COUNTIFS(Cuotas!$A$2:$A$601,$A101,Cuotas!$I$2:$I$601,"Pendiente")=0,"—",_xlfn.MINIFS(Cuotas!$E$2:$E$601,Cuotas!$A$2:$A$601,$A101,Cuotas!$I$2:$I$601,"Pendiente")))</f>
        <v/>
      </c>
      <c r="Q101" s="18">
        <f>IF($A101="","",COUNTIFS(Cuotas!$A$2:$A$601,$A101,Cuotas!$I$2:$I$601,"Pagado")&amp;"/"&amp;COUNTIFS(Cuotas!$A$2:$A$601,$A101))</f>
        <v/>
      </c>
      <c r="R101" s="16">
        <f>IF($A101="","",IF(COUNTIFS(Cuotas!$A$2:$A$601,$A101,Cuotas!$I$2:$I$601,"Pendiente")=0,"Terminado",IF(P101&lt;TODAY(),"Atrasado","Al día")))</f>
        <v/>
      </c>
    </row>
  </sheetData>
  <autoFilter ref="A1:R101"/>
  <conditionalFormatting sqref="A2:R101">
    <cfRule type="expression" priority="1" dxfId="1">
      <formula>$R2="Atrasado"</formula>
    </cfRule>
    <cfRule type="expression" priority="2" dxfId="2">
      <formula>$R2="Terminado"</formula>
    </cfRule>
  </conditionalFormatting>
  <dataValidations count="1">
    <dataValidation sqref="E2:E101" showDropDown="0" showInputMessage="0" showErrorMessage="0" allowBlank="1" type="list">
      <formula1>"%,Fijo total,Fijo por mes"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0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2" customWidth="1" min="10" max="10"/>
    <col width="9" customWidth="1" min="11" max="11"/>
    <col width="11" customWidth="1" min="12" max="12"/>
    <col width="12" customWidth="1" min="13" max="13"/>
  </cols>
  <sheetData>
    <row r="1" ht="30" customHeight="1">
      <c r="A1" s="12" t="inlineStr">
        <is>
          <t>Préstamo N°</t>
        </is>
      </c>
      <c r="B1" s="13" t="inlineStr">
        <is>
          <t>Cliente</t>
        </is>
      </c>
      <c r="C1" s="12" t="inlineStr">
        <is>
          <t>Cuota N°</t>
        </is>
      </c>
      <c r="D1" s="12" t="inlineStr">
        <is>
          <t>Tipo</t>
        </is>
      </c>
      <c r="E1" s="12" t="inlineStr">
        <is>
          <t>Fecha límite</t>
        </is>
      </c>
      <c r="F1" s="13" t="inlineStr">
        <is>
          <t>Capital</t>
        </is>
      </c>
      <c r="G1" s="13" t="inlineStr">
        <is>
          <t>Interés</t>
        </is>
      </c>
      <c r="H1" s="13" t="inlineStr">
        <is>
          <t>Total</t>
        </is>
      </c>
      <c r="I1" s="12" t="inlineStr">
        <is>
          <t>Estado</t>
        </is>
      </c>
      <c r="J1" s="12" t="inlineStr">
        <is>
          <t>Fecha de pago</t>
        </is>
      </c>
      <c r="K1" s="13" t="inlineStr">
        <is>
          <t>Días de atraso</t>
        </is>
      </c>
      <c r="L1" s="13" t="inlineStr">
        <is>
          <t>Situación</t>
        </is>
      </c>
      <c r="M1" s="13" t="inlineStr">
        <is>
          <t>Recordatorio</t>
        </is>
      </c>
    </row>
    <row r="2">
      <c r="A2" s="14" t="n">
        <v>2</v>
      </c>
      <c r="B2" s="16">
        <f>IF($A2="","",INDEX('Préstamos'!$B$2:$B$101,MATCH($A2,'Préstamos'!$A$2:$A$101,0)))</f>
        <v/>
      </c>
      <c r="C2" s="14" t="n">
        <v>1</v>
      </c>
      <c r="D2" s="14" t="inlineStr">
        <is>
          <t>Normal</t>
        </is>
      </c>
      <c r="E2" s="33" t="n">
        <v>46264</v>
      </c>
      <c r="F2" s="29">
        <f>IF($A2="","",IF(D2="Solo interés",0,IF(AND(D2&lt;&gt;"Solo interés",C2=INDEX('Préstamos'!$G$2:$G$101,MATCH($A2,'Préstamos'!$A$2:$A$101,0))),INDEX('Préstamos'!$D$2:$D$101,MATCH($A2,'Préstamos'!$A$2:$A$101,0))-INDEX('Préstamos'!$J$2:$J$101,MATCH($A2,'Préstamos'!$A$2:$A$101,0))*(INDEX('Préstamos'!$G$2:$G$101,MATCH($A2,'Préstamos'!$A$2:$A$101,0))-1),INDEX('Préstamos'!$J$2:$J$101,MATCH($A2,'Préstamos'!$A$2:$A$101,0)))))</f>
        <v/>
      </c>
      <c r="G2" s="29">
        <f>IF($A2="","",IF(AND(D2&lt;&gt;"Solo interés",C2=INDEX('Préstamos'!$G$2:$G$101,MATCH($A2,'Préstamos'!$A$2:$A$101,0))),INDEX('Préstamos'!$I$2:$I$101,MATCH($A2,'Préstamos'!$A$2:$A$101,0))-INDEX('Préstamos'!$K$2:$K$101,MATCH($A2,'Préstamos'!$A$2:$A$101,0))*(INDEX('Préstamos'!$G$2:$G$101,MATCH($A2,'Préstamos'!$A$2:$A$101,0))-1),INDEX('Préstamos'!$K$2:$K$101,MATCH($A2,'Préstamos'!$A$2:$A$101,0))))</f>
        <v/>
      </c>
      <c r="H2" s="29">
        <f>IF($A2="","",F2+G2)</f>
        <v/>
      </c>
      <c r="I2" s="14" t="inlineStr">
        <is>
          <t>Pagado</t>
        </is>
      </c>
      <c r="J2" s="33" t="n">
        <v>46264</v>
      </c>
      <c r="K2" s="16">
        <f>IF(OR($A2="",I2="Pagado"),"",MAX(0,TODAY()-E2))</f>
        <v/>
      </c>
      <c r="L2" s="16">
        <f>IF($A2="","",IF(I2="Pagado","Pagado",IF(E2&lt;TODAY(),"Atrasado",IF(E2&lt;=EOMONTH(TODAY(),0),"Este mes","Pendiente"))))</f>
        <v/>
      </c>
      <c r="M2" s="20">
        <f>IF(OR($A2="",I2="Pagado"),"",HYPERLINK("https://wa.me/"&amp;IF(INDEX('Préstamos'!$C$2:$C$101,MATCH($A2,'Préstamos'!$A$2:$A$101,0))="","","51"&amp;SUBSTITUTE(INDEX('Préstamos'!$C$2:$C$101,MATCH($A2,'Préstamos'!$A$2:$A$101,0))," ",""))&amp;"?text="&amp;SUBSTITUTE("Hola "&amp;B2&amp;", te recuerdo que tu cuota de S/ "&amp;H2&amp;IF(E2&lt;TODAY()," vencio el "," vence el ")&amp;TEXT(E2,"dd/mm")&amp;". Gracias!"," ","%20"),"WhatsApp"))</f>
        <v/>
      </c>
    </row>
    <row r="3">
      <c r="A3" s="14" t="n">
        <v>2</v>
      </c>
      <c r="B3" s="16">
        <f>IF($A3="","",INDEX('Préstamos'!$B$2:$B$101,MATCH($A3,'Préstamos'!$A$2:$A$101,0)))</f>
        <v/>
      </c>
      <c r="C3" s="14" t="n"/>
      <c r="D3" s="14" t="inlineStr">
        <is>
          <t>Solo interés</t>
        </is>
      </c>
      <c r="E3" s="33" t="n">
        <v>46295</v>
      </c>
      <c r="F3" s="29">
        <f>IF($A3="","",IF(D3="Solo interés",0,IF(AND(D3&lt;&gt;"Solo interés",C3=INDEX('Préstamos'!$G$2:$G$101,MATCH($A3,'Préstamos'!$A$2:$A$101,0))),INDEX('Préstamos'!$D$2:$D$101,MATCH($A3,'Préstamos'!$A$2:$A$101,0))-INDEX('Préstamos'!$J$2:$J$101,MATCH($A3,'Préstamos'!$A$2:$A$101,0))*(INDEX('Préstamos'!$G$2:$G$101,MATCH($A3,'Préstamos'!$A$2:$A$101,0))-1),INDEX('Préstamos'!$J$2:$J$101,MATCH($A3,'Préstamos'!$A$2:$A$101,0)))))</f>
        <v/>
      </c>
      <c r="G3" s="29">
        <f>IF($A3="","",IF(AND(D3&lt;&gt;"Solo interés",C3=INDEX('Préstamos'!$G$2:$G$101,MATCH($A3,'Préstamos'!$A$2:$A$101,0))),INDEX('Préstamos'!$I$2:$I$101,MATCH($A3,'Préstamos'!$A$2:$A$101,0))-INDEX('Préstamos'!$K$2:$K$101,MATCH($A3,'Préstamos'!$A$2:$A$101,0))*(INDEX('Préstamos'!$G$2:$G$101,MATCH($A3,'Préstamos'!$A$2:$A$101,0))-1),INDEX('Préstamos'!$K$2:$K$101,MATCH($A3,'Préstamos'!$A$2:$A$101,0))))</f>
        <v/>
      </c>
      <c r="H3" s="29">
        <f>IF($A3="","",F3+G3)</f>
        <v/>
      </c>
      <c r="I3" s="14" t="inlineStr">
        <is>
          <t>Pagado</t>
        </is>
      </c>
      <c r="J3" s="33" t="n">
        <v>46295</v>
      </c>
      <c r="K3" s="16">
        <f>IF(OR($A3="",I3="Pagado"),"",MAX(0,TODAY()-E3))</f>
        <v/>
      </c>
      <c r="L3" s="16">
        <f>IF($A3="","",IF(I3="Pagado","Pagado",IF(E3&lt;TODAY(),"Atrasado",IF(E3&lt;=EOMONTH(TODAY(),0),"Este mes","Pendiente"))))</f>
        <v/>
      </c>
      <c r="M3" s="20">
        <f>IF(OR($A3="",I3="Pagado"),"",HYPERLINK("https://wa.me/"&amp;IF(INDEX('Préstamos'!$C$2:$C$101,MATCH($A3,'Préstamos'!$A$2:$A$101,0))="","","51"&amp;SUBSTITUTE(INDEX('Préstamos'!$C$2:$C$101,MATCH($A3,'Préstamos'!$A$2:$A$101,0))," ",""))&amp;"?text="&amp;SUBSTITUTE("Hola "&amp;B3&amp;", te recuerdo que tu cuota de S/ "&amp;H3&amp;IF(E3&lt;TODAY()," vencio el "," vence el ")&amp;TEXT(E3,"dd/mm")&amp;". Gracias!"," ","%20"),"WhatsApp"))</f>
        <v/>
      </c>
    </row>
    <row r="4">
      <c r="A4" s="14" t="n">
        <v>3</v>
      </c>
      <c r="B4" s="16">
        <f>IF($A4="","",INDEX('Préstamos'!$B$2:$B$101,MATCH($A4,'Préstamos'!$A$2:$A$101,0)))</f>
        <v/>
      </c>
      <c r="C4" s="14" t="n">
        <v>1</v>
      </c>
      <c r="D4" s="14" t="inlineStr">
        <is>
          <t>Normal</t>
        </is>
      </c>
      <c r="E4" s="33" t="n">
        <v>46295</v>
      </c>
      <c r="F4" s="29">
        <f>IF($A4="","",IF(D4="Solo interés",0,IF(AND(D4&lt;&gt;"Solo interés",C4=INDEX('Préstamos'!$G$2:$G$101,MATCH($A4,'Préstamos'!$A$2:$A$101,0))),INDEX('Préstamos'!$D$2:$D$101,MATCH($A4,'Préstamos'!$A$2:$A$101,0))-INDEX('Préstamos'!$J$2:$J$101,MATCH($A4,'Préstamos'!$A$2:$A$101,0))*(INDEX('Préstamos'!$G$2:$G$101,MATCH($A4,'Préstamos'!$A$2:$A$101,0))-1),INDEX('Préstamos'!$J$2:$J$101,MATCH($A4,'Préstamos'!$A$2:$A$101,0)))))</f>
        <v/>
      </c>
      <c r="G4" s="29">
        <f>IF($A4="","",IF(AND(D4&lt;&gt;"Solo interés",C4=INDEX('Préstamos'!$G$2:$G$101,MATCH($A4,'Préstamos'!$A$2:$A$101,0))),INDEX('Préstamos'!$I$2:$I$101,MATCH($A4,'Préstamos'!$A$2:$A$101,0))-INDEX('Préstamos'!$K$2:$K$101,MATCH($A4,'Préstamos'!$A$2:$A$101,0))*(INDEX('Préstamos'!$G$2:$G$101,MATCH($A4,'Préstamos'!$A$2:$A$101,0))-1),INDEX('Préstamos'!$K$2:$K$101,MATCH($A4,'Préstamos'!$A$2:$A$101,0))))</f>
        <v/>
      </c>
      <c r="H4" s="29">
        <f>IF($A4="","",F4+G4)</f>
        <v/>
      </c>
      <c r="I4" s="14" t="inlineStr">
        <is>
          <t>Pagado</t>
        </is>
      </c>
      <c r="J4" s="33" t="n">
        <v>46295</v>
      </c>
      <c r="K4" s="16">
        <f>IF(OR($A4="",I4="Pagado"),"",MAX(0,TODAY()-E4))</f>
        <v/>
      </c>
      <c r="L4" s="16">
        <f>IF($A4="","",IF(I4="Pagado","Pagado",IF(E4&lt;TODAY(),"Atrasado",IF(E4&lt;=EOMONTH(TODAY(),0),"Este mes","Pendiente"))))</f>
        <v/>
      </c>
      <c r="M4" s="20">
        <f>IF(OR($A4="",I4="Pagado"),"",HYPERLINK("https://wa.me/"&amp;IF(INDEX('Préstamos'!$C$2:$C$101,MATCH($A4,'Préstamos'!$A$2:$A$101,0))="","","51"&amp;SUBSTITUTE(INDEX('Préstamos'!$C$2:$C$101,MATCH($A4,'Préstamos'!$A$2:$A$101,0))," ",""))&amp;"?text="&amp;SUBSTITUTE("Hola "&amp;B4&amp;", te recuerdo que tu cuota de S/ "&amp;H4&amp;IF(E4&lt;TODAY()," vencio el "," vence el ")&amp;TEXT(E4,"dd/mm")&amp;". Gracias!"," ","%20"),"WhatsApp"))</f>
        <v/>
      </c>
    </row>
    <row r="5">
      <c r="A5" s="14" t="n">
        <v>1</v>
      </c>
      <c r="B5" s="16">
        <f>IF($A5="","",INDEX('Préstamos'!$B$2:$B$101,MATCH($A5,'Préstamos'!$A$2:$A$101,0)))</f>
        <v/>
      </c>
      <c r="C5" s="14" t="n">
        <v>1</v>
      </c>
      <c r="D5" s="14" t="inlineStr">
        <is>
          <t>Normal</t>
        </is>
      </c>
      <c r="E5" s="33" t="n">
        <v>46311</v>
      </c>
      <c r="F5" s="29">
        <f>IF($A5="","",IF(D5="Solo interés",0,IF(AND(D5&lt;&gt;"Solo interés",C5=INDEX('Préstamos'!$G$2:$G$101,MATCH($A5,'Préstamos'!$A$2:$A$101,0))),INDEX('Préstamos'!$D$2:$D$101,MATCH($A5,'Préstamos'!$A$2:$A$101,0))-INDEX('Préstamos'!$J$2:$J$101,MATCH($A5,'Préstamos'!$A$2:$A$101,0))*(INDEX('Préstamos'!$G$2:$G$101,MATCH($A5,'Préstamos'!$A$2:$A$101,0))-1),INDEX('Préstamos'!$J$2:$J$101,MATCH($A5,'Préstamos'!$A$2:$A$101,0)))))</f>
        <v/>
      </c>
      <c r="G5" s="29">
        <f>IF($A5="","",IF(AND(D5&lt;&gt;"Solo interés",C5=INDEX('Préstamos'!$G$2:$G$101,MATCH($A5,'Préstamos'!$A$2:$A$101,0))),INDEX('Préstamos'!$I$2:$I$101,MATCH($A5,'Préstamos'!$A$2:$A$101,0))-INDEX('Préstamos'!$K$2:$K$101,MATCH($A5,'Préstamos'!$A$2:$A$101,0))*(INDEX('Préstamos'!$G$2:$G$101,MATCH($A5,'Préstamos'!$A$2:$A$101,0))-1),INDEX('Préstamos'!$K$2:$K$101,MATCH($A5,'Préstamos'!$A$2:$A$101,0))))</f>
        <v/>
      </c>
      <c r="H5" s="29">
        <f>IF($A5="","",F5+G5)</f>
        <v/>
      </c>
      <c r="I5" s="14" t="inlineStr">
        <is>
          <t>Pendiente</t>
        </is>
      </c>
      <c r="J5" s="33" t="n"/>
      <c r="K5" s="16">
        <f>IF(OR($A5="",I5="Pagado"),"",MAX(0,TODAY()-E5))</f>
        <v/>
      </c>
      <c r="L5" s="16">
        <f>IF($A5="","",IF(I5="Pagado","Pagado",IF(E5&lt;TODAY(),"Atrasado",IF(E5&lt;=EOMONTH(TODAY(),0),"Este mes","Pendiente"))))</f>
        <v/>
      </c>
      <c r="M5" s="20">
        <f>IF(OR($A5="",I5="Pagado"),"",HYPERLINK("https://wa.me/"&amp;IF(INDEX('Préstamos'!$C$2:$C$101,MATCH($A5,'Préstamos'!$A$2:$A$101,0))="","","51"&amp;SUBSTITUTE(INDEX('Préstamos'!$C$2:$C$101,MATCH($A5,'Préstamos'!$A$2:$A$101,0))," ",""))&amp;"?text="&amp;SUBSTITUTE("Hola "&amp;B5&amp;", te recuerdo que tu cuota de S/ "&amp;H5&amp;IF(E5&lt;TODAY()," vencio el "," vence el ")&amp;TEXT(E5,"dd/mm")&amp;". Gracias!"," ","%20"),"WhatsApp"))</f>
        <v/>
      </c>
    </row>
    <row r="6">
      <c r="A6" s="14" t="n">
        <v>2</v>
      </c>
      <c r="B6" s="16">
        <f>IF($A6="","",INDEX('Préstamos'!$B$2:$B$101,MATCH($A6,'Préstamos'!$A$2:$A$101,0)))</f>
        <v/>
      </c>
      <c r="C6" s="14" t="n">
        <v>2</v>
      </c>
      <c r="D6" s="14" t="inlineStr">
        <is>
          <t>Normal</t>
        </is>
      </c>
      <c r="E6" s="33" t="n">
        <v>46325</v>
      </c>
      <c r="F6" s="29">
        <f>IF($A6="","",IF(D6="Solo interés",0,IF(AND(D6&lt;&gt;"Solo interés",C6=INDEX('Préstamos'!$G$2:$G$101,MATCH($A6,'Préstamos'!$A$2:$A$101,0))),INDEX('Préstamos'!$D$2:$D$101,MATCH($A6,'Préstamos'!$A$2:$A$101,0))-INDEX('Préstamos'!$J$2:$J$101,MATCH($A6,'Préstamos'!$A$2:$A$101,0))*(INDEX('Préstamos'!$G$2:$G$101,MATCH($A6,'Préstamos'!$A$2:$A$101,0))-1),INDEX('Préstamos'!$J$2:$J$101,MATCH($A6,'Préstamos'!$A$2:$A$101,0)))))</f>
        <v/>
      </c>
      <c r="G6" s="29">
        <f>IF($A6="","",IF(AND(D6&lt;&gt;"Solo interés",C6=INDEX('Préstamos'!$G$2:$G$101,MATCH($A6,'Préstamos'!$A$2:$A$101,0))),INDEX('Préstamos'!$I$2:$I$101,MATCH($A6,'Préstamos'!$A$2:$A$101,0))-INDEX('Préstamos'!$K$2:$K$101,MATCH($A6,'Préstamos'!$A$2:$A$101,0))*(INDEX('Préstamos'!$G$2:$G$101,MATCH($A6,'Préstamos'!$A$2:$A$101,0))-1),INDEX('Préstamos'!$K$2:$K$101,MATCH($A6,'Préstamos'!$A$2:$A$101,0))))</f>
        <v/>
      </c>
      <c r="H6" s="29">
        <f>IF($A6="","",F6+G6)</f>
        <v/>
      </c>
      <c r="I6" s="14" t="inlineStr">
        <is>
          <t>Pendiente</t>
        </is>
      </c>
      <c r="J6" s="33" t="n"/>
      <c r="K6" s="16">
        <f>IF(OR($A6="",I6="Pagado"),"",MAX(0,TODAY()-E6))</f>
        <v/>
      </c>
      <c r="L6" s="16">
        <f>IF($A6="","",IF(I6="Pagado","Pagado",IF(E6&lt;TODAY(),"Atrasado",IF(E6&lt;=EOMONTH(TODAY(),0),"Este mes","Pendiente"))))</f>
        <v/>
      </c>
      <c r="M6" s="20">
        <f>IF(OR($A6="",I6="Pagado"),"",HYPERLINK("https://wa.me/"&amp;IF(INDEX('Préstamos'!$C$2:$C$101,MATCH($A6,'Préstamos'!$A$2:$A$101,0))="","","51"&amp;SUBSTITUTE(INDEX('Préstamos'!$C$2:$C$101,MATCH($A6,'Préstamos'!$A$2:$A$101,0))," ",""))&amp;"?text="&amp;SUBSTITUTE("Hola "&amp;B6&amp;", te recuerdo que tu cuota de S/ "&amp;H6&amp;IF(E6&lt;TODAY()," vencio el "," vence el ")&amp;TEXT(E6,"dd/mm")&amp;". Gracias!"," ","%20"),"WhatsApp"))</f>
        <v/>
      </c>
    </row>
    <row r="7">
      <c r="A7" s="14" t="n">
        <v>3</v>
      </c>
      <c r="B7" s="16">
        <f>IF($A7="","",INDEX('Préstamos'!$B$2:$B$101,MATCH($A7,'Préstamos'!$A$2:$A$101,0)))</f>
        <v/>
      </c>
      <c r="C7" s="14" t="n">
        <v>2</v>
      </c>
      <c r="D7" s="14" t="inlineStr">
        <is>
          <t>Normal</t>
        </is>
      </c>
      <c r="E7" s="33" t="n">
        <v>46325</v>
      </c>
      <c r="F7" s="29">
        <f>IF($A7="","",IF(D7="Solo interés",0,IF(AND(D7&lt;&gt;"Solo interés",C7=INDEX('Préstamos'!$G$2:$G$101,MATCH($A7,'Préstamos'!$A$2:$A$101,0))),INDEX('Préstamos'!$D$2:$D$101,MATCH($A7,'Préstamos'!$A$2:$A$101,0))-INDEX('Préstamos'!$J$2:$J$101,MATCH($A7,'Préstamos'!$A$2:$A$101,0))*(INDEX('Préstamos'!$G$2:$G$101,MATCH($A7,'Préstamos'!$A$2:$A$101,0))-1),INDEX('Préstamos'!$J$2:$J$101,MATCH($A7,'Préstamos'!$A$2:$A$101,0)))))</f>
        <v/>
      </c>
      <c r="G7" s="29">
        <f>IF($A7="","",IF(AND(D7&lt;&gt;"Solo interés",C7=INDEX('Préstamos'!$G$2:$G$101,MATCH($A7,'Préstamos'!$A$2:$A$101,0))),INDEX('Préstamos'!$I$2:$I$101,MATCH($A7,'Préstamos'!$A$2:$A$101,0))-INDEX('Préstamos'!$K$2:$K$101,MATCH($A7,'Préstamos'!$A$2:$A$101,0))*(INDEX('Préstamos'!$G$2:$G$101,MATCH($A7,'Préstamos'!$A$2:$A$101,0))-1),INDEX('Préstamos'!$K$2:$K$101,MATCH($A7,'Préstamos'!$A$2:$A$101,0))))</f>
        <v/>
      </c>
      <c r="H7" s="29">
        <f>IF($A7="","",F7+G7)</f>
        <v/>
      </c>
      <c r="I7" s="14" t="inlineStr">
        <is>
          <t>Pendiente</t>
        </is>
      </c>
      <c r="J7" s="33" t="n"/>
      <c r="K7" s="16">
        <f>IF(OR($A7="",I7="Pagado"),"",MAX(0,TODAY()-E7))</f>
        <v/>
      </c>
      <c r="L7" s="16">
        <f>IF($A7="","",IF(I7="Pagado","Pagado",IF(E7&lt;TODAY(),"Atrasado",IF(E7&lt;=EOMONTH(TODAY(),0),"Este mes","Pendiente"))))</f>
        <v/>
      </c>
      <c r="M7" s="20">
        <f>IF(OR($A7="",I7="Pagado"),"",HYPERLINK("https://wa.me/"&amp;IF(INDEX('Préstamos'!$C$2:$C$101,MATCH($A7,'Préstamos'!$A$2:$A$101,0))="","","51"&amp;SUBSTITUTE(INDEX('Préstamos'!$C$2:$C$101,MATCH($A7,'Préstamos'!$A$2:$A$101,0))," ",""))&amp;"?text="&amp;SUBSTITUTE("Hola "&amp;B7&amp;", te recuerdo que tu cuota de S/ "&amp;H7&amp;IF(E7&lt;TODAY()," vencio el "," vence el ")&amp;TEXT(E7,"dd/mm")&amp;". Gracias!"," ","%20"),"WhatsApp"))</f>
        <v/>
      </c>
    </row>
    <row r="8">
      <c r="A8" s="14" t="n">
        <v>1</v>
      </c>
      <c r="B8" s="16">
        <f>IF($A8="","",INDEX('Préstamos'!$B$2:$B$101,MATCH($A8,'Préstamos'!$A$2:$A$101,0)))</f>
        <v/>
      </c>
      <c r="C8" s="14" t="n">
        <v>2</v>
      </c>
      <c r="D8" s="14" t="inlineStr">
        <is>
          <t>Normal</t>
        </is>
      </c>
      <c r="E8" s="33" t="n">
        <v>46342</v>
      </c>
      <c r="F8" s="29">
        <f>IF($A8="","",IF(D8="Solo interés",0,IF(AND(D8&lt;&gt;"Solo interés",C8=INDEX('Préstamos'!$G$2:$G$101,MATCH($A8,'Préstamos'!$A$2:$A$101,0))),INDEX('Préstamos'!$D$2:$D$101,MATCH($A8,'Préstamos'!$A$2:$A$101,0))-INDEX('Préstamos'!$J$2:$J$101,MATCH($A8,'Préstamos'!$A$2:$A$101,0))*(INDEX('Préstamos'!$G$2:$G$101,MATCH($A8,'Préstamos'!$A$2:$A$101,0))-1),INDEX('Préstamos'!$J$2:$J$101,MATCH($A8,'Préstamos'!$A$2:$A$101,0)))))</f>
        <v/>
      </c>
      <c r="G8" s="29">
        <f>IF($A8="","",IF(AND(D8&lt;&gt;"Solo interés",C8=INDEX('Préstamos'!$G$2:$G$101,MATCH($A8,'Préstamos'!$A$2:$A$101,0))),INDEX('Préstamos'!$I$2:$I$101,MATCH($A8,'Préstamos'!$A$2:$A$101,0))-INDEX('Préstamos'!$K$2:$K$101,MATCH($A8,'Préstamos'!$A$2:$A$101,0))*(INDEX('Préstamos'!$G$2:$G$101,MATCH($A8,'Préstamos'!$A$2:$A$101,0))-1),INDEX('Préstamos'!$K$2:$K$101,MATCH($A8,'Préstamos'!$A$2:$A$101,0))))</f>
        <v/>
      </c>
      <c r="H8" s="29">
        <f>IF($A8="","",F8+G8)</f>
        <v/>
      </c>
      <c r="I8" s="14" t="inlineStr">
        <is>
          <t>Pendiente</t>
        </is>
      </c>
      <c r="J8" s="33" t="n"/>
      <c r="K8" s="16">
        <f>IF(OR($A8="",I8="Pagado"),"",MAX(0,TODAY()-E8))</f>
        <v/>
      </c>
      <c r="L8" s="16">
        <f>IF($A8="","",IF(I8="Pagado","Pagado",IF(E8&lt;TODAY(),"Atrasado",IF(E8&lt;=EOMONTH(TODAY(),0),"Este mes","Pendiente"))))</f>
        <v/>
      </c>
      <c r="M8" s="20">
        <f>IF(OR($A8="",I8="Pagado"),"",HYPERLINK("https://wa.me/"&amp;IF(INDEX('Préstamos'!$C$2:$C$101,MATCH($A8,'Préstamos'!$A$2:$A$101,0))="","","51"&amp;SUBSTITUTE(INDEX('Préstamos'!$C$2:$C$101,MATCH($A8,'Préstamos'!$A$2:$A$101,0))," ",""))&amp;"?text="&amp;SUBSTITUTE("Hola "&amp;B8&amp;", te recuerdo que tu cuota de S/ "&amp;H8&amp;IF(E8&lt;TODAY()," vencio el "," vence el ")&amp;TEXT(E8,"dd/mm")&amp;". Gracias!"," ","%20"),"WhatsApp"))</f>
        <v/>
      </c>
    </row>
    <row r="9">
      <c r="A9" s="14" t="n">
        <v>2</v>
      </c>
      <c r="B9" s="16">
        <f>IF($A9="","",INDEX('Préstamos'!$B$2:$B$101,MATCH($A9,'Préstamos'!$A$2:$A$101,0)))</f>
        <v/>
      </c>
      <c r="C9" s="14" t="n">
        <v>3</v>
      </c>
      <c r="D9" s="14" t="inlineStr">
        <is>
          <t>Normal</t>
        </is>
      </c>
      <c r="E9" s="33" t="n">
        <v>46356</v>
      </c>
      <c r="F9" s="29">
        <f>IF($A9="","",IF(D9="Solo interés",0,IF(AND(D9&lt;&gt;"Solo interés",C9=INDEX('Préstamos'!$G$2:$G$101,MATCH($A9,'Préstamos'!$A$2:$A$101,0))),INDEX('Préstamos'!$D$2:$D$101,MATCH($A9,'Préstamos'!$A$2:$A$101,0))-INDEX('Préstamos'!$J$2:$J$101,MATCH($A9,'Préstamos'!$A$2:$A$101,0))*(INDEX('Préstamos'!$G$2:$G$101,MATCH($A9,'Préstamos'!$A$2:$A$101,0))-1),INDEX('Préstamos'!$J$2:$J$101,MATCH($A9,'Préstamos'!$A$2:$A$101,0)))))</f>
        <v/>
      </c>
      <c r="G9" s="29">
        <f>IF($A9="","",IF(AND(D9&lt;&gt;"Solo interés",C9=INDEX('Préstamos'!$G$2:$G$101,MATCH($A9,'Préstamos'!$A$2:$A$101,0))),INDEX('Préstamos'!$I$2:$I$101,MATCH($A9,'Préstamos'!$A$2:$A$101,0))-INDEX('Préstamos'!$K$2:$K$101,MATCH($A9,'Préstamos'!$A$2:$A$101,0))*(INDEX('Préstamos'!$G$2:$G$101,MATCH($A9,'Préstamos'!$A$2:$A$101,0))-1),INDEX('Préstamos'!$K$2:$K$101,MATCH($A9,'Préstamos'!$A$2:$A$101,0))))</f>
        <v/>
      </c>
      <c r="H9" s="29">
        <f>IF($A9="","",F9+G9)</f>
        <v/>
      </c>
      <c r="I9" s="14" t="inlineStr">
        <is>
          <t>Pendiente</t>
        </is>
      </c>
      <c r="J9" s="33" t="n"/>
      <c r="K9" s="16">
        <f>IF(OR($A9="",I9="Pagado"),"",MAX(0,TODAY()-E9))</f>
        <v/>
      </c>
      <c r="L9" s="16">
        <f>IF($A9="","",IF(I9="Pagado","Pagado",IF(E9&lt;TODAY(),"Atrasado",IF(E9&lt;=EOMONTH(TODAY(),0),"Este mes","Pendiente"))))</f>
        <v/>
      </c>
      <c r="M9" s="20">
        <f>IF(OR($A9="",I9="Pagado"),"",HYPERLINK("https://wa.me/"&amp;IF(INDEX('Préstamos'!$C$2:$C$101,MATCH($A9,'Préstamos'!$A$2:$A$101,0))="","","51"&amp;SUBSTITUTE(INDEX('Préstamos'!$C$2:$C$101,MATCH($A9,'Préstamos'!$A$2:$A$101,0))," ",""))&amp;"?text="&amp;SUBSTITUTE("Hola "&amp;B9&amp;", te recuerdo que tu cuota de S/ "&amp;H9&amp;IF(E9&lt;TODAY()," vencio el "," vence el ")&amp;TEXT(E9,"dd/mm")&amp;". Gracias!"," ","%20"),"WhatsApp"))</f>
        <v/>
      </c>
    </row>
    <row r="10">
      <c r="A10" s="14" t="n">
        <v>3</v>
      </c>
      <c r="B10" s="16">
        <f>IF($A10="","",INDEX('Préstamos'!$B$2:$B$101,MATCH($A10,'Préstamos'!$A$2:$A$101,0)))</f>
        <v/>
      </c>
      <c r="C10" s="14" t="n">
        <v>3</v>
      </c>
      <c r="D10" s="14" t="inlineStr">
        <is>
          <t>Normal</t>
        </is>
      </c>
      <c r="E10" s="33" t="n">
        <v>46356</v>
      </c>
      <c r="F10" s="29">
        <f>IF($A10="","",IF(D10="Solo interés",0,IF(AND(D10&lt;&gt;"Solo interés",C10=INDEX('Préstamos'!$G$2:$G$101,MATCH($A10,'Préstamos'!$A$2:$A$101,0))),INDEX('Préstamos'!$D$2:$D$101,MATCH($A10,'Préstamos'!$A$2:$A$101,0))-INDEX('Préstamos'!$J$2:$J$101,MATCH($A10,'Préstamos'!$A$2:$A$101,0))*(INDEX('Préstamos'!$G$2:$G$101,MATCH($A10,'Préstamos'!$A$2:$A$101,0))-1),INDEX('Préstamos'!$J$2:$J$101,MATCH($A10,'Préstamos'!$A$2:$A$101,0)))))</f>
        <v/>
      </c>
      <c r="G10" s="29">
        <f>IF($A10="","",IF(AND(D10&lt;&gt;"Solo interés",C10=INDEX('Préstamos'!$G$2:$G$101,MATCH($A10,'Préstamos'!$A$2:$A$101,0))),INDEX('Préstamos'!$I$2:$I$101,MATCH($A10,'Préstamos'!$A$2:$A$101,0))-INDEX('Préstamos'!$K$2:$K$101,MATCH($A10,'Préstamos'!$A$2:$A$101,0))*(INDEX('Préstamos'!$G$2:$G$101,MATCH($A10,'Préstamos'!$A$2:$A$101,0))-1),INDEX('Préstamos'!$K$2:$K$101,MATCH($A10,'Préstamos'!$A$2:$A$101,0))))</f>
        <v/>
      </c>
      <c r="H10" s="29">
        <f>IF($A10="","",F10+G10)</f>
        <v/>
      </c>
      <c r="I10" s="14" t="inlineStr">
        <is>
          <t>Pendiente</t>
        </is>
      </c>
      <c r="J10" s="33" t="n"/>
      <c r="K10" s="16">
        <f>IF(OR($A10="",I10="Pagado"),"",MAX(0,TODAY()-E10))</f>
        <v/>
      </c>
      <c r="L10" s="16">
        <f>IF($A10="","",IF(I10="Pagado","Pagado",IF(E10&lt;TODAY(),"Atrasado",IF(E10&lt;=EOMONTH(TODAY(),0),"Este mes","Pendiente"))))</f>
        <v/>
      </c>
      <c r="M10" s="20">
        <f>IF(OR($A10="",I10="Pagado"),"",HYPERLINK("https://wa.me/"&amp;IF(INDEX('Préstamos'!$C$2:$C$101,MATCH($A10,'Préstamos'!$A$2:$A$101,0))="","","51"&amp;SUBSTITUTE(INDEX('Préstamos'!$C$2:$C$101,MATCH($A10,'Préstamos'!$A$2:$A$101,0))," ",""))&amp;"?text="&amp;SUBSTITUTE("Hola "&amp;B10&amp;", te recuerdo que tu cuota de S/ "&amp;H10&amp;IF(E10&lt;TODAY()," vencio el "," vence el ")&amp;TEXT(E10,"dd/mm")&amp;". Gracias!"," ","%20"),"WhatsApp"))</f>
        <v/>
      </c>
    </row>
    <row r="11">
      <c r="A11" s="14" t="n">
        <v>3</v>
      </c>
      <c r="B11" s="16">
        <f>IF($A11="","",INDEX('Préstamos'!$B$2:$B$101,MATCH($A11,'Préstamos'!$A$2:$A$101,0)))</f>
        <v/>
      </c>
      <c r="C11" s="14" t="n">
        <v>4</v>
      </c>
      <c r="D11" s="14" t="inlineStr">
        <is>
          <t>Normal</t>
        </is>
      </c>
      <c r="E11" s="33" t="n">
        <v>46386</v>
      </c>
      <c r="F11" s="29">
        <f>IF($A11="","",IF(D11="Solo interés",0,IF(AND(D11&lt;&gt;"Solo interés",C11=INDEX('Préstamos'!$G$2:$G$101,MATCH($A11,'Préstamos'!$A$2:$A$101,0))),INDEX('Préstamos'!$D$2:$D$101,MATCH($A11,'Préstamos'!$A$2:$A$101,0))-INDEX('Préstamos'!$J$2:$J$101,MATCH($A11,'Préstamos'!$A$2:$A$101,0))*(INDEX('Préstamos'!$G$2:$G$101,MATCH($A11,'Préstamos'!$A$2:$A$101,0))-1),INDEX('Préstamos'!$J$2:$J$101,MATCH($A11,'Préstamos'!$A$2:$A$101,0)))))</f>
        <v/>
      </c>
      <c r="G11" s="29">
        <f>IF($A11="","",IF(AND(D11&lt;&gt;"Solo interés",C11=INDEX('Préstamos'!$G$2:$G$101,MATCH($A11,'Préstamos'!$A$2:$A$101,0))),INDEX('Préstamos'!$I$2:$I$101,MATCH($A11,'Préstamos'!$A$2:$A$101,0))-INDEX('Préstamos'!$K$2:$K$101,MATCH($A11,'Préstamos'!$A$2:$A$101,0))*(INDEX('Préstamos'!$G$2:$G$101,MATCH($A11,'Préstamos'!$A$2:$A$101,0))-1),INDEX('Préstamos'!$K$2:$K$101,MATCH($A11,'Préstamos'!$A$2:$A$101,0))))</f>
        <v/>
      </c>
      <c r="H11" s="29">
        <f>IF($A11="","",F11+G11)</f>
        <v/>
      </c>
      <c r="I11" s="14" t="inlineStr">
        <is>
          <t>Pendiente</t>
        </is>
      </c>
      <c r="J11" s="33" t="n"/>
      <c r="K11" s="16">
        <f>IF(OR($A11="",I11="Pagado"),"",MAX(0,TODAY()-E11))</f>
        <v/>
      </c>
      <c r="L11" s="16">
        <f>IF($A11="","",IF(I11="Pagado","Pagado",IF(E11&lt;TODAY(),"Atrasado",IF(E11&lt;=EOMONTH(TODAY(),0),"Este mes","Pendiente"))))</f>
        <v/>
      </c>
      <c r="M11" s="20">
        <f>IF(OR($A11="",I11="Pagado"),"",HYPERLINK("https://wa.me/"&amp;IF(INDEX('Préstamos'!$C$2:$C$101,MATCH($A11,'Préstamos'!$A$2:$A$101,0))="","","51"&amp;SUBSTITUTE(INDEX('Préstamos'!$C$2:$C$101,MATCH($A11,'Préstamos'!$A$2:$A$101,0))," ",""))&amp;"?text="&amp;SUBSTITUTE("Hola "&amp;B11&amp;", te recuerdo que tu cuota de S/ "&amp;H11&amp;IF(E11&lt;TODAY()," vencio el "," vence el ")&amp;TEXT(E11,"dd/mm")&amp;". Gracias!"," ","%20"),"WhatsApp"))</f>
        <v/>
      </c>
    </row>
    <row r="12">
      <c r="A12" s="14" t="n"/>
      <c r="B12" s="16">
        <f>IF($A12="","",INDEX('Préstamos'!$B$2:$B$101,MATCH($A12,'Préstamos'!$A$2:$A$101,0)))</f>
        <v/>
      </c>
      <c r="C12" s="14" t="n"/>
      <c r="D12" s="14" t="n"/>
      <c r="E12" s="33" t="n"/>
      <c r="F12" s="29">
        <f>IF($A12="","",IF(D12="Solo interés",0,IF(AND(D12&lt;&gt;"Solo interés",C12=INDEX('Préstamos'!$G$2:$G$101,MATCH($A12,'Préstamos'!$A$2:$A$101,0))),INDEX('Préstamos'!$D$2:$D$101,MATCH($A12,'Préstamos'!$A$2:$A$101,0))-INDEX('Préstamos'!$J$2:$J$101,MATCH($A12,'Préstamos'!$A$2:$A$101,0))*(INDEX('Préstamos'!$G$2:$G$101,MATCH($A12,'Préstamos'!$A$2:$A$101,0))-1),INDEX('Préstamos'!$J$2:$J$101,MATCH($A12,'Préstamos'!$A$2:$A$101,0)))))</f>
        <v/>
      </c>
      <c r="G12" s="29">
        <f>IF($A12="","",IF(AND(D12&lt;&gt;"Solo interés",C12=INDEX('Préstamos'!$G$2:$G$101,MATCH($A12,'Préstamos'!$A$2:$A$101,0))),INDEX('Préstamos'!$I$2:$I$101,MATCH($A12,'Préstamos'!$A$2:$A$101,0))-INDEX('Préstamos'!$K$2:$K$101,MATCH($A12,'Préstamos'!$A$2:$A$101,0))*(INDEX('Préstamos'!$G$2:$G$101,MATCH($A12,'Préstamos'!$A$2:$A$101,0))-1),INDEX('Préstamos'!$K$2:$K$101,MATCH($A12,'Préstamos'!$A$2:$A$101,0))))</f>
        <v/>
      </c>
      <c r="H12" s="29">
        <f>IF($A12="","",F12+G12)</f>
        <v/>
      </c>
      <c r="I12" s="14" t="n"/>
      <c r="J12" s="33" t="n"/>
      <c r="K12" s="16">
        <f>IF(OR($A12="",I12="Pagado"),"",MAX(0,TODAY()-E12))</f>
        <v/>
      </c>
      <c r="L12" s="16">
        <f>IF($A12="","",IF(I12="Pagado","Pagado",IF(E12&lt;TODAY(),"Atrasado",IF(E12&lt;=EOMONTH(TODAY(),0),"Este mes","Pendiente"))))</f>
        <v/>
      </c>
      <c r="M12" s="20">
        <f>IF(OR($A12="",I12="Pagado"),"",HYPERLINK("https://wa.me/"&amp;IF(INDEX('Préstamos'!$C$2:$C$101,MATCH($A12,'Préstamos'!$A$2:$A$101,0))="","","51"&amp;SUBSTITUTE(INDEX('Préstamos'!$C$2:$C$101,MATCH($A12,'Préstamos'!$A$2:$A$101,0))," ",""))&amp;"?text="&amp;SUBSTITUTE("Hola "&amp;B12&amp;", te recuerdo que tu cuota de S/ "&amp;H12&amp;IF(E12&lt;TODAY()," vencio el "," vence el ")&amp;TEXT(E12,"dd/mm")&amp;". Gracias!"," ","%20"),"WhatsApp"))</f>
        <v/>
      </c>
    </row>
    <row r="13">
      <c r="A13" s="14" t="n"/>
      <c r="B13" s="16">
        <f>IF($A13="","",INDEX('Préstamos'!$B$2:$B$101,MATCH($A13,'Préstamos'!$A$2:$A$101,0)))</f>
        <v/>
      </c>
      <c r="C13" s="14" t="n"/>
      <c r="D13" s="14" t="n"/>
      <c r="E13" s="33" t="n"/>
      <c r="F13" s="29">
        <f>IF($A13="","",IF(D13="Solo interés",0,IF(AND(D13&lt;&gt;"Solo interés",C13=INDEX('Préstamos'!$G$2:$G$101,MATCH($A13,'Préstamos'!$A$2:$A$101,0))),INDEX('Préstamos'!$D$2:$D$101,MATCH($A13,'Préstamos'!$A$2:$A$101,0))-INDEX('Préstamos'!$J$2:$J$101,MATCH($A13,'Préstamos'!$A$2:$A$101,0))*(INDEX('Préstamos'!$G$2:$G$101,MATCH($A13,'Préstamos'!$A$2:$A$101,0))-1),INDEX('Préstamos'!$J$2:$J$101,MATCH($A13,'Préstamos'!$A$2:$A$101,0)))))</f>
        <v/>
      </c>
      <c r="G13" s="29">
        <f>IF($A13="","",IF(AND(D13&lt;&gt;"Solo interés",C13=INDEX('Préstamos'!$G$2:$G$101,MATCH($A13,'Préstamos'!$A$2:$A$101,0))),INDEX('Préstamos'!$I$2:$I$101,MATCH($A13,'Préstamos'!$A$2:$A$101,0))-INDEX('Préstamos'!$K$2:$K$101,MATCH($A13,'Préstamos'!$A$2:$A$101,0))*(INDEX('Préstamos'!$G$2:$G$101,MATCH($A13,'Préstamos'!$A$2:$A$101,0))-1),INDEX('Préstamos'!$K$2:$K$101,MATCH($A13,'Préstamos'!$A$2:$A$101,0))))</f>
        <v/>
      </c>
      <c r="H13" s="29">
        <f>IF($A13="","",F13+G13)</f>
        <v/>
      </c>
      <c r="I13" s="14" t="n"/>
      <c r="J13" s="33" t="n"/>
      <c r="K13" s="16">
        <f>IF(OR($A13="",I13="Pagado"),"",MAX(0,TODAY()-E13))</f>
        <v/>
      </c>
      <c r="L13" s="16">
        <f>IF($A13="","",IF(I13="Pagado","Pagado",IF(E13&lt;TODAY(),"Atrasado",IF(E13&lt;=EOMONTH(TODAY(),0),"Este mes","Pendiente"))))</f>
        <v/>
      </c>
      <c r="M13" s="20">
        <f>IF(OR($A13="",I13="Pagado"),"",HYPERLINK("https://wa.me/"&amp;IF(INDEX('Préstamos'!$C$2:$C$101,MATCH($A13,'Préstamos'!$A$2:$A$101,0))="","","51"&amp;SUBSTITUTE(INDEX('Préstamos'!$C$2:$C$101,MATCH($A13,'Préstamos'!$A$2:$A$101,0))," ",""))&amp;"?text="&amp;SUBSTITUTE("Hola "&amp;B13&amp;", te recuerdo que tu cuota de S/ "&amp;H13&amp;IF(E13&lt;TODAY()," vencio el "," vence el ")&amp;TEXT(E13,"dd/mm")&amp;". Gracias!"," ","%20"),"WhatsApp"))</f>
        <v/>
      </c>
    </row>
    <row r="14">
      <c r="A14" s="14" t="n"/>
      <c r="B14" s="16">
        <f>IF($A14="","",INDEX('Préstamos'!$B$2:$B$101,MATCH($A14,'Préstamos'!$A$2:$A$101,0)))</f>
        <v/>
      </c>
      <c r="C14" s="14" t="n"/>
      <c r="D14" s="14" t="n"/>
      <c r="E14" s="33" t="n"/>
      <c r="F14" s="29">
        <f>IF($A14="","",IF(D14="Solo interés",0,IF(AND(D14&lt;&gt;"Solo interés",C14=INDEX('Préstamos'!$G$2:$G$101,MATCH($A14,'Préstamos'!$A$2:$A$101,0))),INDEX('Préstamos'!$D$2:$D$101,MATCH($A14,'Préstamos'!$A$2:$A$101,0))-INDEX('Préstamos'!$J$2:$J$101,MATCH($A14,'Préstamos'!$A$2:$A$101,0))*(INDEX('Préstamos'!$G$2:$G$101,MATCH($A14,'Préstamos'!$A$2:$A$101,0))-1),INDEX('Préstamos'!$J$2:$J$101,MATCH($A14,'Préstamos'!$A$2:$A$101,0)))))</f>
        <v/>
      </c>
      <c r="G14" s="29">
        <f>IF($A14="","",IF(AND(D14&lt;&gt;"Solo interés",C14=INDEX('Préstamos'!$G$2:$G$101,MATCH($A14,'Préstamos'!$A$2:$A$101,0))),INDEX('Préstamos'!$I$2:$I$101,MATCH($A14,'Préstamos'!$A$2:$A$101,0))-INDEX('Préstamos'!$K$2:$K$101,MATCH($A14,'Préstamos'!$A$2:$A$101,0))*(INDEX('Préstamos'!$G$2:$G$101,MATCH($A14,'Préstamos'!$A$2:$A$101,0))-1),INDEX('Préstamos'!$K$2:$K$101,MATCH($A14,'Préstamos'!$A$2:$A$101,0))))</f>
        <v/>
      </c>
      <c r="H14" s="29">
        <f>IF($A14="","",F14+G14)</f>
        <v/>
      </c>
      <c r="I14" s="14" t="n"/>
      <c r="J14" s="33" t="n"/>
      <c r="K14" s="16">
        <f>IF(OR($A14="",I14="Pagado"),"",MAX(0,TODAY()-E14))</f>
        <v/>
      </c>
      <c r="L14" s="16">
        <f>IF($A14="","",IF(I14="Pagado","Pagado",IF(E14&lt;TODAY(),"Atrasado",IF(E14&lt;=EOMONTH(TODAY(),0),"Este mes","Pendiente"))))</f>
        <v/>
      </c>
      <c r="M14" s="20">
        <f>IF(OR($A14="",I14="Pagado"),"",HYPERLINK("https://wa.me/"&amp;IF(INDEX('Préstamos'!$C$2:$C$101,MATCH($A14,'Préstamos'!$A$2:$A$101,0))="","","51"&amp;SUBSTITUTE(INDEX('Préstamos'!$C$2:$C$101,MATCH($A14,'Préstamos'!$A$2:$A$101,0))," ",""))&amp;"?text="&amp;SUBSTITUTE("Hola "&amp;B14&amp;", te recuerdo que tu cuota de S/ "&amp;H14&amp;IF(E14&lt;TODAY()," vencio el "," vence el ")&amp;TEXT(E14,"dd/mm")&amp;". Gracias!"," ","%20"),"WhatsApp"))</f>
        <v/>
      </c>
    </row>
    <row r="15">
      <c r="A15" s="14" t="n"/>
      <c r="B15" s="16">
        <f>IF($A15="","",INDEX('Préstamos'!$B$2:$B$101,MATCH($A15,'Préstamos'!$A$2:$A$101,0)))</f>
        <v/>
      </c>
      <c r="C15" s="14" t="n"/>
      <c r="D15" s="14" t="n"/>
      <c r="E15" s="33" t="n"/>
      <c r="F15" s="29">
        <f>IF($A15="","",IF(D15="Solo interés",0,IF(AND(D15&lt;&gt;"Solo interés",C15=INDEX('Préstamos'!$G$2:$G$101,MATCH($A15,'Préstamos'!$A$2:$A$101,0))),INDEX('Préstamos'!$D$2:$D$101,MATCH($A15,'Préstamos'!$A$2:$A$101,0))-INDEX('Préstamos'!$J$2:$J$101,MATCH($A15,'Préstamos'!$A$2:$A$101,0))*(INDEX('Préstamos'!$G$2:$G$101,MATCH($A15,'Préstamos'!$A$2:$A$101,0))-1),INDEX('Préstamos'!$J$2:$J$101,MATCH($A15,'Préstamos'!$A$2:$A$101,0)))))</f>
        <v/>
      </c>
      <c r="G15" s="29">
        <f>IF($A15="","",IF(AND(D15&lt;&gt;"Solo interés",C15=INDEX('Préstamos'!$G$2:$G$101,MATCH($A15,'Préstamos'!$A$2:$A$101,0))),INDEX('Préstamos'!$I$2:$I$101,MATCH($A15,'Préstamos'!$A$2:$A$101,0))-INDEX('Préstamos'!$K$2:$K$101,MATCH($A15,'Préstamos'!$A$2:$A$101,0))*(INDEX('Préstamos'!$G$2:$G$101,MATCH($A15,'Préstamos'!$A$2:$A$101,0))-1),INDEX('Préstamos'!$K$2:$K$101,MATCH($A15,'Préstamos'!$A$2:$A$101,0))))</f>
        <v/>
      </c>
      <c r="H15" s="29">
        <f>IF($A15="","",F15+G15)</f>
        <v/>
      </c>
      <c r="I15" s="14" t="n"/>
      <c r="J15" s="33" t="n"/>
      <c r="K15" s="16">
        <f>IF(OR($A15="",I15="Pagado"),"",MAX(0,TODAY()-E15))</f>
        <v/>
      </c>
      <c r="L15" s="16">
        <f>IF($A15="","",IF(I15="Pagado","Pagado",IF(E15&lt;TODAY(),"Atrasado",IF(E15&lt;=EOMONTH(TODAY(),0),"Este mes","Pendiente"))))</f>
        <v/>
      </c>
      <c r="M15" s="20">
        <f>IF(OR($A15="",I15="Pagado"),"",HYPERLINK("https://wa.me/"&amp;IF(INDEX('Préstamos'!$C$2:$C$101,MATCH($A15,'Préstamos'!$A$2:$A$101,0))="","","51"&amp;SUBSTITUTE(INDEX('Préstamos'!$C$2:$C$101,MATCH($A15,'Préstamos'!$A$2:$A$101,0))," ",""))&amp;"?text="&amp;SUBSTITUTE("Hola "&amp;B15&amp;", te recuerdo que tu cuota de S/ "&amp;H15&amp;IF(E15&lt;TODAY()," vencio el "," vence el ")&amp;TEXT(E15,"dd/mm")&amp;". Gracias!"," ","%20"),"WhatsApp"))</f>
        <v/>
      </c>
    </row>
    <row r="16">
      <c r="A16" s="14" t="n"/>
      <c r="B16" s="16">
        <f>IF($A16="","",INDEX('Préstamos'!$B$2:$B$101,MATCH($A16,'Préstamos'!$A$2:$A$101,0)))</f>
        <v/>
      </c>
      <c r="C16" s="14" t="n"/>
      <c r="D16" s="14" t="n"/>
      <c r="E16" s="33" t="n"/>
      <c r="F16" s="29">
        <f>IF($A16="","",IF(D16="Solo interés",0,IF(AND(D16&lt;&gt;"Solo interés",C16=INDEX('Préstamos'!$G$2:$G$101,MATCH($A16,'Préstamos'!$A$2:$A$101,0))),INDEX('Préstamos'!$D$2:$D$101,MATCH($A16,'Préstamos'!$A$2:$A$101,0))-INDEX('Préstamos'!$J$2:$J$101,MATCH($A16,'Préstamos'!$A$2:$A$101,0))*(INDEX('Préstamos'!$G$2:$G$101,MATCH($A16,'Préstamos'!$A$2:$A$101,0))-1),INDEX('Préstamos'!$J$2:$J$101,MATCH($A16,'Préstamos'!$A$2:$A$101,0)))))</f>
        <v/>
      </c>
      <c r="G16" s="29">
        <f>IF($A16="","",IF(AND(D16&lt;&gt;"Solo interés",C16=INDEX('Préstamos'!$G$2:$G$101,MATCH($A16,'Préstamos'!$A$2:$A$101,0))),INDEX('Préstamos'!$I$2:$I$101,MATCH($A16,'Préstamos'!$A$2:$A$101,0))-INDEX('Préstamos'!$K$2:$K$101,MATCH($A16,'Préstamos'!$A$2:$A$101,0))*(INDEX('Préstamos'!$G$2:$G$101,MATCH($A16,'Préstamos'!$A$2:$A$101,0))-1),INDEX('Préstamos'!$K$2:$K$101,MATCH($A16,'Préstamos'!$A$2:$A$101,0))))</f>
        <v/>
      </c>
      <c r="H16" s="29">
        <f>IF($A16="","",F16+G16)</f>
        <v/>
      </c>
      <c r="I16" s="14" t="n"/>
      <c r="J16" s="33" t="n"/>
      <c r="K16" s="16">
        <f>IF(OR($A16="",I16="Pagado"),"",MAX(0,TODAY()-E16))</f>
        <v/>
      </c>
      <c r="L16" s="16">
        <f>IF($A16="","",IF(I16="Pagado","Pagado",IF(E16&lt;TODAY(),"Atrasado",IF(E16&lt;=EOMONTH(TODAY(),0),"Este mes","Pendiente"))))</f>
        <v/>
      </c>
      <c r="M16" s="20">
        <f>IF(OR($A16="",I16="Pagado"),"",HYPERLINK("https://wa.me/"&amp;IF(INDEX('Préstamos'!$C$2:$C$101,MATCH($A16,'Préstamos'!$A$2:$A$101,0))="","","51"&amp;SUBSTITUTE(INDEX('Préstamos'!$C$2:$C$101,MATCH($A16,'Préstamos'!$A$2:$A$101,0))," ",""))&amp;"?text="&amp;SUBSTITUTE("Hola "&amp;B16&amp;", te recuerdo que tu cuota de S/ "&amp;H16&amp;IF(E16&lt;TODAY()," vencio el "," vence el ")&amp;TEXT(E16,"dd/mm")&amp;". Gracias!"," ","%20"),"WhatsApp"))</f>
        <v/>
      </c>
    </row>
    <row r="17">
      <c r="A17" s="14" t="n"/>
      <c r="B17" s="16">
        <f>IF($A17="","",INDEX('Préstamos'!$B$2:$B$101,MATCH($A17,'Préstamos'!$A$2:$A$101,0)))</f>
        <v/>
      </c>
      <c r="C17" s="14" t="n"/>
      <c r="D17" s="14" t="n"/>
      <c r="E17" s="33" t="n"/>
      <c r="F17" s="29">
        <f>IF($A17="","",IF(D17="Solo interés",0,IF(AND(D17&lt;&gt;"Solo interés",C17=INDEX('Préstamos'!$G$2:$G$101,MATCH($A17,'Préstamos'!$A$2:$A$101,0))),INDEX('Préstamos'!$D$2:$D$101,MATCH($A17,'Préstamos'!$A$2:$A$101,0))-INDEX('Préstamos'!$J$2:$J$101,MATCH($A17,'Préstamos'!$A$2:$A$101,0))*(INDEX('Préstamos'!$G$2:$G$101,MATCH($A17,'Préstamos'!$A$2:$A$101,0))-1),INDEX('Préstamos'!$J$2:$J$101,MATCH($A17,'Préstamos'!$A$2:$A$101,0)))))</f>
        <v/>
      </c>
      <c r="G17" s="29">
        <f>IF($A17="","",IF(AND(D17&lt;&gt;"Solo interés",C17=INDEX('Préstamos'!$G$2:$G$101,MATCH($A17,'Préstamos'!$A$2:$A$101,0))),INDEX('Préstamos'!$I$2:$I$101,MATCH($A17,'Préstamos'!$A$2:$A$101,0))-INDEX('Préstamos'!$K$2:$K$101,MATCH($A17,'Préstamos'!$A$2:$A$101,0))*(INDEX('Préstamos'!$G$2:$G$101,MATCH($A17,'Préstamos'!$A$2:$A$101,0))-1),INDEX('Préstamos'!$K$2:$K$101,MATCH($A17,'Préstamos'!$A$2:$A$101,0))))</f>
        <v/>
      </c>
      <c r="H17" s="29">
        <f>IF($A17="","",F17+G17)</f>
        <v/>
      </c>
      <c r="I17" s="14" t="n"/>
      <c r="J17" s="33" t="n"/>
      <c r="K17" s="16">
        <f>IF(OR($A17="",I17="Pagado"),"",MAX(0,TODAY()-E17))</f>
        <v/>
      </c>
      <c r="L17" s="16">
        <f>IF($A17="","",IF(I17="Pagado","Pagado",IF(E17&lt;TODAY(),"Atrasado",IF(E17&lt;=EOMONTH(TODAY(),0),"Este mes","Pendiente"))))</f>
        <v/>
      </c>
      <c r="M17" s="20">
        <f>IF(OR($A17="",I17="Pagado"),"",HYPERLINK("https://wa.me/"&amp;IF(INDEX('Préstamos'!$C$2:$C$101,MATCH($A17,'Préstamos'!$A$2:$A$101,0))="","","51"&amp;SUBSTITUTE(INDEX('Préstamos'!$C$2:$C$101,MATCH($A17,'Préstamos'!$A$2:$A$101,0))," ",""))&amp;"?text="&amp;SUBSTITUTE("Hola "&amp;B17&amp;", te recuerdo que tu cuota de S/ "&amp;H17&amp;IF(E17&lt;TODAY()," vencio el "," vence el ")&amp;TEXT(E17,"dd/mm")&amp;". Gracias!"," ","%20"),"WhatsApp"))</f>
        <v/>
      </c>
    </row>
    <row r="18">
      <c r="A18" s="14" t="n"/>
      <c r="B18" s="16">
        <f>IF($A18="","",INDEX('Préstamos'!$B$2:$B$101,MATCH($A18,'Préstamos'!$A$2:$A$101,0)))</f>
        <v/>
      </c>
      <c r="C18" s="14" t="n"/>
      <c r="D18" s="14" t="n"/>
      <c r="E18" s="33" t="n"/>
      <c r="F18" s="29">
        <f>IF($A18="","",IF(D18="Solo interés",0,IF(AND(D18&lt;&gt;"Solo interés",C18=INDEX('Préstamos'!$G$2:$G$101,MATCH($A18,'Préstamos'!$A$2:$A$101,0))),INDEX('Préstamos'!$D$2:$D$101,MATCH($A18,'Préstamos'!$A$2:$A$101,0))-INDEX('Préstamos'!$J$2:$J$101,MATCH($A18,'Préstamos'!$A$2:$A$101,0))*(INDEX('Préstamos'!$G$2:$G$101,MATCH($A18,'Préstamos'!$A$2:$A$101,0))-1),INDEX('Préstamos'!$J$2:$J$101,MATCH($A18,'Préstamos'!$A$2:$A$101,0)))))</f>
        <v/>
      </c>
      <c r="G18" s="29">
        <f>IF($A18="","",IF(AND(D18&lt;&gt;"Solo interés",C18=INDEX('Préstamos'!$G$2:$G$101,MATCH($A18,'Préstamos'!$A$2:$A$101,0))),INDEX('Préstamos'!$I$2:$I$101,MATCH($A18,'Préstamos'!$A$2:$A$101,0))-INDEX('Préstamos'!$K$2:$K$101,MATCH($A18,'Préstamos'!$A$2:$A$101,0))*(INDEX('Préstamos'!$G$2:$G$101,MATCH($A18,'Préstamos'!$A$2:$A$101,0))-1),INDEX('Préstamos'!$K$2:$K$101,MATCH($A18,'Préstamos'!$A$2:$A$101,0))))</f>
        <v/>
      </c>
      <c r="H18" s="29">
        <f>IF($A18="","",F18+G18)</f>
        <v/>
      </c>
      <c r="I18" s="14" t="n"/>
      <c r="J18" s="33" t="n"/>
      <c r="K18" s="16">
        <f>IF(OR($A18="",I18="Pagado"),"",MAX(0,TODAY()-E18))</f>
        <v/>
      </c>
      <c r="L18" s="16">
        <f>IF($A18="","",IF(I18="Pagado","Pagado",IF(E18&lt;TODAY(),"Atrasado",IF(E18&lt;=EOMONTH(TODAY(),0),"Este mes","Pendiente"))))</f>
        <v/>
      </c>
      <c r="M18" s="20">
        <f>IF(OR($A18="",I18="Pagado"),"",HYPERLINK("https://wa.me/"&amp;IF(INDEX('Préstamos'!$C$2:$C$101,MATCH($A18,'Préstamos'!$A$2:$A$101,0))="","","51"&amp;SUBSTITUTE(INDEX('Préstamos'!$C$2:$C$101,MATCH($A18,'Préstamos'!$A$2:$A$101,0))," ",""))&amp;"?text="&amp;SUBSTITUTE("Hola "&amp;B18&amp;", te recuerdo que tu cuota de S/ "&amp;H18&amp;IF(E18&lt;TODAY()," vencio el "," vence el ")&amp;TEXT(E18,"dd/mm")&amp;". Gracias!"," ","%20"),"WhatsApp"))</f>
        <v/>
      </c>
    </row>
    <row r="19">
      <c r="A19" s="14" t="n"/>
      <c r="B19" s="16">
        <f>IF($A19="","",INDEX('Préstamos'!$B$2:$B$101,MATCH($A19,'Préstamos'!$A$2:$A$101,0)))</f>
        <v/>
      </c>
      <c r="C19" s="14" t="n"/>
      <c r="D19" s="14" t="n"/>
      <c r="E19" s="33" t="n"/>
      <c r="F19" s="29">
        <f>IF($A19="","",IF(D19="Solo interés",0,IF(AND(D19&lt;&gt;"Solo interés",C19=INDEX('Préstamos'!$G$2:$G$101,MATCH($A19,'Préstamos'!$A$2:$A$101,0))),INDEX('Préstamos'!$D$2:$D$101,MATCH($A19,'Préstamos'!$A$2:$A$101,0))-INDEX('Préstamos'!$J$2:$J$101,MATCH($A19,'Préstamos'!$A$2:$A$101,0))*(INDEX('Préstamos'!$G$2:$G$101,MATCH($A19,'Préstamos'!$A$2:$A$101,0))-1),INDEX('Préstamos'!$J$2:$J$101,MATCH($A19,'Préstamos'!$A$2:$A$101,0)))))</f>
        <v/>
      </c>
      <c r="G19" s="29">
        <f>IF($A19="","",IF(AND(D19&lt;&gt;"Solo interés",C19=INDEX('Préstamos'!$G$2:$G$101,MATCH($A19,'Préstamos'!$A$2:$A$101,0))),INDEX('Préstamos'!$I$2:$I$101,MATCH($A19,'Préstamos'!$A$2:$A$101,0))-INDEX('Préstamos'!$K$2:$K$101,MATCH($A19,'Préstamos'!$A$2:$A$101,0))*(INDEX('Préstamos'!$G$2:$G$101,MATCH($A19,'Préstamos'!$A$2:$A$101,0))-1),INDEX('Préstamos'!$K$2:$K$101,MATCH($A19,'Préstamos'!$A$2:$A$101,0))))</f>
        <v/>
      </c>
      <c r="H19" s="29">
        <f>IF($A19="","",F19+G19)</f>
        <v/>
      </c>
      <c r="I19" s="14" t="n"/>
      <c r="J19" s="33" t="n"/>
      <c r="K19" s="16">
        <f>IF(OR($A19="",I19="Pagado"),"",MAX(0,TODAY()-E19))</f>
        <v/>
      </c>
      <c r="L19" s="16">
        <f>IF($A19="","",IF(I19="Pagado","Pagado",IF(E19&lt;TODAY(),"Atrasado",IF(E19&lt;=EOMONTH(TODAY(),0),"Este mes","Pendiente"))))</f>
        <v/>
      </c>
      <c r="M19" s="20">
        <f>IF(OR($A19="",I19="Pagado"),"",HYPERLINK("https://wa.me/"&amp;IF(INDEX('Préstamos'!$C$2:$C$101,MATCH($A19,'Préstamos'!$A$2:$A$101,0))="","","51"&amp;SUBSTITUTE(INDEX('Préstamos'!$C$2:$C$101,MATCH($A19,'Préstamos'!$A$2:$A$101,0))," ",""))&amp;"?text="&amp;SUBSTITUTE("Hola "&amp;B19&amp;", te recuerdo que tu cuota de S/ "&amp;H19&amp;IF(E19&lt;TODAY()," vencio el "," vence el ")&amp;TEXT(E19,"dd/mm")&amp;". Gracias!"," ","%20"),"WhatsApp"))</f>
        <v/>
      </c>
    </row>
    <row r="20">
      <c r="A20" s="14" t="n"/>
      <c r="B20" s="16">
        <f>IF($A20="","",INDEX('Préstamos'!$B$2:$B$101,MATCH($A20,'Préstamos'!$A$2:$A$101,0)))</f>
        <v/>
      </c>
      <c r="C20" s="14" t="n"/>
      <c r="D20" s="14" t="n"/>
      <c r="E20" s="33" t="n"/>
      <c r="F20" s="29">
        <f>IF($A20="","",IF(D20="Solo interés",0,IF(AND(D20&lt;&gt;"Solo interés",C20=INDEX('Préstamos'!$G$2:$G$101,MATCH($A20,'Préstamos'!$A$2:$A$101,0))),INDEX('Préstamos'!$D$2:$D$101,MATCH($A20,'Préstamos'!$A$2:$A$101,0))-INDEX('Préstamos'!$J$2:$J$101,MATCH($A20,'Préstamos'!$A$2:$A$101,0))*(INDEX('Préstamos'!$G$2:$G$101,MATCH($A20,'Préstamos'!$A$2:$A$101,0))-1),INDEX('Préstamos'!$J$2:$J$101,MATCH($A20,'Préstamos'!$A$2:$A$101,0)))))</f>
        <v/>
      </c>
      <c r="G20" s="29">
        <f>IF($A20="","",IF(AND(D20&lt;&gt;"Solo interés",C20=INDEX('Préstamos'!$G$2:$G$101,MATCH($A20,'Préstamos'!$A$2:$A$101,0))),INDEX('Préstamos'!$I$2:$I$101,MATCH($A20,'Préstamos'!$A$2:$A$101,0))-INDEX('Préstamos'!$K$2:$K$101,MATCH($A20,'Préstamos'!$A$2:$A$101,0))*(INDEX('Préstamos'!$G$2:$G$101,MATCH($A20,'Préstamos'!$A$2:$A$101,0))-1),INDEX('Préstamos'!$K$2:$K$101,MATCH($A20,'Préstamos'!$A$2:$A$101,0))))</f>
        <v/>
      </c>
      <c r="H20" s="29">
        <f>IF($A20="","",F20+G20)</f>
        <v/>
      </c>
      <c r="I20" s="14" t="n"/>
      <c r="J20" s="33" t="n"/>
      <c r="K20" s="16">
        <f>IF(OR($A20="",I20="Pagado"),"",MAX(0,TODAY()-E20))</f>
        <v/>
      </c>
      <c r="L20" s="16">
        <f>IF($A20="","",IF(I20="Pagado","Pagado",IF(E20&lt;TODAY(),"Atrasado",IF(E20&lt;=EOMONTH(TODAY(),0),"Este mes","Pendiente"))))</f>
        <v/>
      </c>
      <c r="M20" s="20">
        <f>IF(OR($A20="",I20="Pagado"),"",HYPERLINK("https://wa.me/"&amp;IF(INDEX('Préstamos'!$C$2:$C$101,MATCH($A20,'Préstamos'!$A$2:$A$101,0))="","","51"&amp;SUBSTITUTE(INDEX('Préstamos'!$C$2:$C$101,MATCH($A20,'Préstamos'!$A$2:$A$101,0))," ",""))&amp;"?text="&amp;SUBSTITUTE("Hola "&amp;B20&amp;", te recuerdo que tu cuota de S/ "&amp;H20&amp;IF(E20&lt;TODAY()," vencio el "," vence el ")&amp;TEXT(E20,"dd/mm")&amp;". Gracias!"," ","%20"),"WhatsApp"))</f>
        <v/>
      </c>
    </row>
    <row r="21">
      <c r="A21" s="14" t="n"/>
      <c r="B21" s="16">
        <f>IF($A21="","",INDEX('Préstamos'!$B$2:$B$101,MATCH($A21,'Préstamos'!$A$2:$A$101,0)))</f>
        <v/>
      </c>
      <c r="C21" s="14" t="n"/>
      <c r="D21" s="14" t="n"/>
      <c r="E21" s="33" t="n"/>
      <c r="F21" s="29">
        <f>IF($A21="","",IF(D21="Solo interés",0,IF(AND(D21&lt;&gt;"Solo interés",C21=INDEX('Préstamos'!$G$2:$G$101,MATCH($A21,'Préstamos'!$A$2:$A$101,0))),INDEX('Préstamos'!$D$2:$D$101,MATCH($A21,'Préstamos'!$A$2:$A$101,0))-INDEX('Préstamos'!$J$2:$J$101,MATCH($A21,'Préstamos'!$A$2:$A$101,0))*(INDEX('Préstamos'!$G$2:$G$101,MATCH($A21,'Préstamos'!$A$2:$A$101,0))-1),INDEX('Préstamos'!$J$2:$J$101,MATCH($A21,'Préstamos'!$A$2:$A$101,0)))))</f>
        <v/>
      </c>
      <c r="G21" s="29">
        <f>IF($A21="","",IF(AND(D21&lt;&gt;"Solo interés",C21=INDEX('Préstamos'!$G$2:$G$101,MATCH($A21,'Préstamos'!$A$2:$A$101,0))),INDEX('Préstamos'!$I$2:$I$101,MATCH($A21,'Préstamos'!$A$2:$A$101,0))-INDEX('Préstamos'!$K$2:$K$101,MATCH($A21,'Préstamos'!$A$2:$A$101,0))*(INDEX('Préstamos'!$G$2:$G$101,MATCH($A21,'Préstamos'!$A$2:$A$101,0))-1),INDEX('Préstamos'!$K$2:$K$101,MATCH($A21,'Préstamos'!$A$2:$A$101,0))))</f>
        <v/>
      </c>
      <c r="H21" s="29">
        <f>IF($A21="","",F21+G21)</f>
        <v/>
      </c>
      <c r="I21" s="14" t="n"/>
      <c r="J21" s="33" t="n"/>
      <c r="K21" s="16">
        <f>IF(OR($A21="",I21="Pagado"),"",MAX(0,TODAY()-E21))</f>
        <v/>
      </c>
      <c r="L21" s="16">
        <f>IF($A21="","",IF(I21="Pagado","Pagado",IF(E21&lt;TODAY(),"Atrasado",IF(E21&lt;=EOMONTH(TODAY(),0),"Este mes","Pendiente"))))</f>
        <v/>
      </c>
      <c r="M21" s="20">
        <f>IF(OR($A21="",I21="Pagado"),"",HYPERLINK("https://wa.me/"&amp;IF(INDEX('Préstamos'!$C$2:$C$101,MATCH($A21,'Préstamos'!$A$2:$A$101,0))="","","51"&amp;SUBSTITUTE(INDEX('Préstamos'!$C$2:$C$101,MATCH($A21,'Préstamos'!$A$2:$A$101,0))," ",""))&amp;"?text="&amp;SUBSTITUTE("Hola "&amp;B21&amp;", te recuerdo que tu cuota de S/ "&amp;H21&amp;IF(E21&lt;TODAY()," vencio el "," vence el ")&amp;TEXT(E21,"dd/mm")&amp;". Gracias!"," ","%20"),"WhatsApp"))</f>
        <v/>
      </c>
    </row>
    <row r="22">
      <c r="A22" s="14" t="n"/>
      <c r="B22" s="16">
        <f>IF($A22="","",INDEX('Préstamos'!$B$2:$B$101,MATCH($A22,'Préstamos'!$A$2:$A$101,0)))</f>
        <v/>
      </c>
      <c r="C22" s="14" t="n"/>
      <c r="D22" s="14" t="n"/>
      <c r="E22" s="33" t="n"/>
      <c r="F22" s="29">
        <f>IF($A22="","",IF(D22="Solo interés",0,IF(AND(D22&lt;&gt;"Solo interés",C22=INDEX('Préstamos'!$G$2:$G$101,MATCH($A22,'Préstamos'!$A$2:$A$101,0))),INDEX('Préstamos'!$D$2:$D$101,MATCH($A22,'Préstamos'!$A$2:$A$101,0))-INDEX('Préstamos'!$J$2:$J$101,MATCH($A22,'Préstamos'!$A$2:$A$101,0))*(INDEX('Préstamos'!$G$2:$G$101,MATCH($A22,'Préstamos'!$A$2:$A$101,0))-1),INDEX('Préstamos'!$J$2:$J$101,MATCH($A22,'Préstamos'!$A$2:$A$101,0)))))</f>
        <v/>
      </c>
      <c r="G22" s="29">
        <f>IF($A22="","",IF(AND(D22&lt;&gt;"Solo interés",C22=INDEX('Préstamos'!$G$2:$G$101,MATCH($A22,'Préstamos'!$A$2:$A$101,0))),INDEX('Préstamos'!$I$2:$I$101,MATCH($A22,'Préstamos'!$A$2:$A$101,0))-INDEX('Préstamos'!$K$2:$K$101,MATCH($A22,'Préstamos'!$A$2:$A$101,0))*(INDEX('Préstamos'!$G$2:$G$101,MATCH($A22,'Préstamos'!$A$2:$A$101,0))-1),INDEX('Préstamos'!$K$2:$K$101,MATCH($A22,'Préstamos'!$A$2:$A$101,0))))</f>
        <v/>
      </c>
      <c r="H22" s="29">
        <f>IF($A22="","",F22+G22)</f>
        <v/>
      </c>
      <c r="I22" s="14" t="n"/>
      <c r="J22" s="33" t="n"/>
      <c r="K22" s="16">
        <f>IF(OR($A22="",I22="Pagado"),"",MAX(0,TODAY()-E22))</f>
        <v/>
      </c>
      <c r="L22" s="16">
        <f>IF($A22="","",IF(I22="Pagado","Pagado",IF(E22&lt;TODAY(),"Atrasado",IF(E22&lt;=EOMONTH(TODAY(),0),"Este mes","Pendiente"))))</f>
        <v/>
      </c>
      <c r="M22" s="20">
        <f>IF(OR($A22="",I22="Pagado"),"",HYPERLINK("https://wa.me/"&amp;IF(INDEX('Préstamos'!$C$2:$C$101,MATCH($A22,'Préstamos'!$A$2:$A$101,0))="","","51"&amp;SUBSTITUTE(INDEX('Préstamos'!$C$2:$C$101,MATCH($A22,'Préstamos'!$A$2:$A$101,0))," ",""))&amp;"?text="&amp;SUBSTITUTE("Hola "&amp;B22&amp;", te recuerdo que tu cuota de S/ "&amp;H22&amp;IF(E22&lt;TODAY()," vencio el "," vence el ")&amp;TEXT(E22,"dd/mm")&amp;". Gracias!"," ","%20"),"WhatsApp"))</f>
        <v/>
      </c>
    </row>
    <row r="23">
      <c r="A23" s="14" t="n"/>
      <c r="B23" s="16">
        <f>IF($A23="","",INDEX('Préstamos'!$B$2:$B$101,MATCH($A23,'Préstamos'!$A$2:$A$101,0)))</f>
        <v/>
      </c>
      <c r="C23" s="14" t="n"/>
      <c r="D23" s="14" t="n"/>
      <c r="E23" s="33" t="n"/>
      <c r="F23" s="29">
        <f>IF($A23="","",IF(D23="Solo interés",0,IF(AND(D23&lt;&gt;"Solo interés",C23=INDEX('Préstamos'!$G$2:$G$101,MATCH($A23,'Préstamos'!$A$2:$A$101,0))),INDEX('Préstamos'!$D$2:$D$101,MATCH($A23,'Préstamos'!$A$2:$A$101,0))-INDEX('Préstamos'!$J$2:$J$101,MATCH($A23,'Préstamos'!$A$2:$A$101,0))*(INDEX('Préstamos'!$G$2:$G$101,MATCH($A23,'Préstamos'!$A$2:$A$101,0))-1),INDEX('Préstamos'!$J$2:$J$101,MATCH($A23,'Préstamos'!$A$2:$A$101,0)))))</f>
        <v/>
      </c>
      <c r="G23" s="29">
        <f>IF($A23="","",IF(AND(D23&lt;&gt;"Solo interés",C23=INDEX('Préstamos'!$G$2:$G$101,MATCH($A23,'Préstamos'!$A$2:$A$101,0))),INDEX('Préstamos'!$I$2:$I$101,MATCH($A23,'Préstamos'!$A$2:$A$101,0))-INDEX('Préstamos'!$K$2:$K$101,MATCH($A23,'Préstamos'!$A$2:$A$101,0))*(INDEX('Préstamos'!$G$2:$G$101,MATCH($A23,'Préstamos'!$A$2:$A$101,0))-1),INDEX('Préstamos'!$K$2:$K$101,MATCH($A23,'Préstamos'!$A$2:$A$101,0))))</f>
        <v/>
      </c>
      <c r="H23" s="29">
        <f>IF($A23="","",F23+G23)</f>
        <v/>
      </c>
      <c r="I23" s="14" t="n"/>
      <c r="J23" s="33" t="n"/>
      <c r="K23" s="16">
        <f>IF(OR($A23="",I23="Pagado"),"",MAX(0,TODAY()-E23))</f>
        <v/>
      </c>
      <c r="L23" s="16">
        <f>IF($A23="","",IF(I23="Pagado","Pagado",IF(E23&lt;TODAY(),"Atrasado",IF(E23&lt;=EOMONTH(TODAY(),0),"Este mes","Pendiente"))))</f>
        <v/>
      </c>
      <c r="M23" s="20">
        <f>IF(OR($A23="",I23="Pagado"),"",HYPERLINK("https://wa.me/"&amp;IF(INDEX('Préstamos'!$C$2:$C$101,MATCH($A23,'Préstamos'!$A$2:$A$101,0))="","","51"&amp;SUBSTITUTE(INDEX('Préstamos'!$C$2:$C$101,MATCH($A23,'Préstamos'!$A$2:$A$101,0))," ",""))&amp;"?text="&amp;SUBSTITUTE("Hola "&amp;B23&amp;", te recuerdo que tu cuota de S/ "&amp;H23&amp;IF(E23&lt;TODAY()," vencio el "," vence el ")&amp;TEXT(E23,"dd/mm")&amp;". Gracias!"," ","%20"),"WhatsApp"))</f>
        <v/>
      </c>
    </row>
    <row r="24">
      <c r="A24" s="14" t="n"/>
      <c r="B24" s="16">
        <f>IF($A24="","",INDEX('Préstamos'!$B$2:$B$101,MATCH($A24,'Préstamos'!$A$2:$A$101,0)))</f>
        <v/>
      </c>
      <c r="C24" s="14" t="n"/>
      <c r="D24" s="14" t="n"/>
      <c r="E24" s="33" t="n"/>
      <c r="F24" s="29">
        <f>IF($A24="","",IF(D24="Solo interés",0,IF(AND(D24&lt;&gt;"Solo interés",C24=INDEX('Préstamos'!$G$2:$G$101,MATCH($A24,'Préstamos'!$A$2:$A$101,0))),INDEX('Préstamos'!$D$2:$D$101,MATCH($A24,'Préstamos'!$A$2:$A$101,0))-INDEX('Préstamos'!$J$2:$J$101,MATCH($A24,'Préstamos'!$A$2:$A$101,0))*(INDEX('Préstamos'!$G$2:$G$101,MATCH($A24,'Préstamos'!$A$2:$A$101,0))-1),INDEX('Préstamos'!$J$2:$J$101,MATCH($A24,'Préstamos'!$A$2:$A$101,0)))))</f>
        <v/>
      </c>
      <c r="G24" s="29">
        <f>IF($A24="","",IF(AND(D24&lt;&gt;"Solo interés",C24=INDEX('Préstamos'!$G$2:$G$101,MATCH($A24,'Préstamos'!$A$2:$A$101,0))),INDEX('Préstamos'!$I$2:$I$101,MATCH($A24,'Préstamos'!$A$2:$A$101,0))-INDEX('Préstamos'!$K$2:$K$101,MATCH($A24,'Préstamos'!$A$2:$A$101,0))*(INDEX('Préstamos'!$G$2:$G$101,MATCH($A24,'Préstamos'!$A$2:$A$101,0))-1),INDEX('Préstamos'!$K$2:$K$101,MATCH($A24,'Préstamos'!$A$2:$A$101,0))))</f>
        <v/>
      </c>
      <c r="H24" s="29">
        <f>IF($A24="","",F24+G24)</f>
        <v/>
      </c>
      <c r="I24" s="14" t="n"/>
      <c r="J24" s="33" t="n"/>
      <c r="K24" s="16">
        <f>IF(OR($A24="",I24="Pagado"),"",MAX(0,TODAY()-E24))</f>
        <v/>
      </c>
      <c r="L24" s="16">
        <f>IF($A24="","",IF(I24="Pagado","Pagado",IF(E24&lt;TODAY(),"Atrasado",IF(E24&lt;=EOMONTH(TODAY(),0),"Este mes","Pendiente"))))</f>
        <v/>
      </c>
      <c r="M24" s="20">
        <f>IF(OR($A24="",I24="Pagado"),"",HYPERLINK("https://wa.me/"&amp;IF(INDEX('Préstamos'!$C$2:$C$101,MATCH($A24,'Préstamos'!$A$2:$A$101,0))="","","51"&amp;SUBSTITUTE(INDEX('Préstamos'!$C$2:$C$101,MATCH($A24,'Préstamos'!$A$2:$A$101,0))," ",""))&amp;"?text="&amp;SUBSTITUTE("Hola "&amp;B24&amp;", te recuerdo que tu cuota de S/ "&amp;H24&amp;IF(E24&lt;TODAY()," vencio el "," vence el ")&amp;TEXT(E24,"dd/mm")&amp;". Gracias!"," ","%20"),"WhatsApp"))</f>
        <v/>
      </c>
    </row>
    <row r="25">
      <c r="A25" s="14" t="n"/>
      <c r="B25" s="16">
        <f>IF($A25="","",INDEX('Préstamos'!$B$2:$B$101,MATCH($A25,'Préstamos'!$A$2:$A$101,0)))</f>
        <v/>
      </c>
      <c r="C25" s="14" t="n"/>
      <c r="D25" s="14" t="n"/>
      <c r="E25" s="33" t="n"/>
      <c r="F25" s="29">
        <f>IF($A25="","",IF(D25="Solo interés",0,IF(AND(D25&lt;&gt;"Solo interés",C25=INDEX('Préstamos'!$G$2:$G$101,MATCH($A25,'Préstamos'!$A$2:$A$101,0))),INDEX('Préstamos'!$D$2:$D$101,MATCH($A25,'Préstamos'!$A$2:$A$101,0))-INDEX('Préstamos'!$J$2:$J$101,MATCH($A25,'Préstamos'!$A$2:$A$101,0))*(INDEX('Préstamos'!$G$2:$G$101,MATCH($A25,'Préstamos'!$A$2:$A$101,0))-1),INDEX('Préstamos'!$J$2:$J$101,MATCH($A25,'Préstamos'!$A$2:$A$101,0)))))</f>
        <v/>
      </c>
      <c r="G25" s="29">
        <f>IF($A25="","",IF(AND(D25&lt;&gt;"Solo interés",C25=INDEX('Préstamos'!$G$2:$G$101,MATCH($A25,'Préstamos'!$A$2:$A$101,0))),INDEX('Préstamos'!$I$2:$I$101,MATCH($A25,'Préstamos'!$A$2:$A$101,0))-INDEX('Préstamos'!$K$2:$K$101,MATCH($A25,'Préstamos'!$A$2:$A$101,0))*(INDEX('Préstamos'!$G$2:$G$101,MATCH($A25,'Préstamos'!$A$2:$A$101,0))-1),INDEX('Préstamos'!$K$2:$K$101,MATCH($A25,'Préstamos'!$A$2:$A$101,0))))</f>
        <v/>
      </c>
      <c r="H25" s="29">
        <f>IF($A25="","",F25+G25)</f>
        <v/>
      </c>
      <c r="I25" s="14" t="n"/>
      <c r="J25" s="33" t="n"/>
      <c r="K25" s="16">
        <f>IF(OR($A25="",I25="Pagado"),"",MAX(0,TODAY()-E25))</f>
        <v/>
      </c>
      <c r="L25" s="16">
        <f>IF($A25="","",IF(I25="Pagado","Pagado",IF(E25&lt;TODAY(),"Atrasado",IF(E25&lt;=EOMONTH(TODAY(),0),"Este mes","Pendiente"))))</f>
        <v/>
      </c>
      <c r="M25" s="20">
        <f>IF(OR($A25="",I25="Pagado"),"",HYPERLINK("https://wa.me/"&amp;IF(INDEX('Préstamos'!$C$2:$C$101,MATCH($A25,'Préstamos'!$A$2:$A$101,0))="","","51"&amp;SUBSTITUTE(INDEX('Préstamos'!$C$2:$C$101,MATCH($A25,'Préstamos'!$A$2:$A$101,0))," ",""))&amp;"?text="&amp;SUBSTITUTE("Hola "&amp;B25&amp;", te recuerdo que tu cuota de S/ "&amp;H25&amp;IF(E25&lt;TODAY()," vencio el "," vence el ")&amp;TEXT(E25,"dd/mm")&amp;". Gracias!"," ","%20"),"WhatsApp"))</f>
        <v/>
      </c>
    </row>
    <row r="26">
      <c r="A26" s="14" t="n"/>
      <c r="B26" s="16">
        <f>IF($A26="","",INDEX('Préstamos'!$B$2:$B$101,MATCH($A26,'Préstamos'!$A$2:$A$101,0)))</f>
        <v/>
      </c>
      <c r="C26" s="14" t="n"/>
      <c r="D26" s="14" t="n"/>
      <c r="E26" s="33" t="n"/>
      <c r="F26" s="29">
        <f>IF($A26="","",IF(D26="Solo interés",0,IF(AND(D26&lt;&gt;"Solo interés",C26=INDEX('Préstamos'!$G$2:$G$101,MATCH($A26,'Préstamos'!$A$2:$A$101,0))),INDEX('Préstamos'!$D$2:$D$101,MATCH($A26,'Préstamos'!$A$2:$A$101,0))-INDEX('Préstamos'!$J$2:$J$101,MATCH($A26,'Préstamos'!$A$2:$A$101,0))*(INDEX('Préstamos'!$G$2:$G$101,MATCH($A26,'Préstamos'!$A$2:$A$101,0))-1),INDEX('Préstamos'!$J$2:$J$101,MATCH($A26,'Préstamos'!$A$2:$A$101,0)))))</f>
        <v/>
      </c>
      <c r="G26" s="29">
        <f>IF($A26="","",IF(AND(D26&lt;&gt;"Solo interés",C26=INDEX('Préstamos'!$G$2:$G$101,MATCH($A26,'Préstamos'!$A$2:$A$101,0))),INDEX('Préstamos'!$I$2:$I$101,MATCH($A26,'Préstamos'!$A$2:$A$101,0))-INDEX('Préstamos'!$K$2:$K$101,MATCH($A26,'Préstamos'!$A$2:$A$101,0))*(INDEX('Préstamos'!$G$2:$G$101,MATCH($A26,'Préstamos'!$A$2:$A$101,0))-1),INDEX('Préstamos'!$K$2:$K$101,MATCH($A26,'Préstamos'!$A$2:$A$101,0))))</f>
        <v/>
      </c>
      <c r="H26" s="29">
        <f>IF($A26="","",F26+G26)</f>
        <v/>
      </c>
      <c r="I26" s="14" t="n"/>
      <c r="J26" s="33" t="n"/>
      <c r="K26" s="16">
        <f>IF(OR($A26="",I26="Pagado"),"",MAX(0,TODAY()-E26))</f>
        <v/>
      </c>
      <c r="L26" s="16">
        <f>IF($A26="","",IF(I26="Pagado","Pagado",IF(E26&lt;TODAY(),"Atrasado",IF(E26&lt;=EOMONTH(TODAY(),0),"Este mes","Pendiente"))))</f>
        <v/>
      </c>
      <c r="M26" s="20">
        <f>IF(OR($A26="",I26="Pagado"),"",HYPERLINK("https://wa.me/"&amp;IF(INDEX('Préstamos'!$C$2:$C$101,MATCH($A26,'Préstamos'!$A$2:$A$101,0))="","","51"&amp;SUBSTITUTE(INDEX('Préstamos'!$C$2:$C$101,MATCH($A26,'Préstamos'!$A$2:$A$101,0))," ",""))&amp;"?text="&amp;SUBSTITUTE("Hola "&amp;B26&amp;", te recuerdo que tu cuota de S/ "&amp;H26&amp;IF(E26&lt;TODAY()," vencio el "," vence el ")&amp;TEXT(E26,"dd/mm")&amp;". Gracias!"," ","%20"),"WhatsApp"))</f>
        <v/>
      </c>
    </row>
    <row r="27">
      <c r="A27" s="14" t="n"/>
      <c r="B27" s="16">
        <f>IF($A27="","",INDEX('Préstamos'!$B$2:$B$101,MATCH($A27,'Préstamos'!$A$2:$A$101,0)))</f>
        <v/>
      </c>
      <c r="C27" s="14" t="n"/>
      <c r="D27" s="14" t="n"/>
      <c r="E27" s="33" t="n"/>
      <c r="F27" s="29">
        <f>IF($A27="","",IF(D27="Solo interés",0,IF(AND(D27&lt;&gt;"Solo interés",C27=INDEX('Préstamos'!$G$2:$G$101,MATCH($A27,'Préstamos'!$A$2:$A$101,0))),INDEX('Préstamos'!$D$2:$D$101,MATCH($A27,'Préstamos'!$A$2:$A$101,0))-INDEX('Préstamos'!$J$2:$J$101,MATCH($A27,'Préstamos'!$A$2:$A$101,0))*(INDEX('Préstamos'!$G$2:$G$101,MATCH($A27,'Préstamos'!$A$2:$A$101,0))-1),INDEX('Préstamos'!$J$2:$J$101,MATCH($A27,'Préstamos'!$A$2:$A$101,0)))))</f>
        <v/>
      </c>
      <c r="G27" s="29">
        <f>IF($A27="","",IF(AND(D27&lt;&gt;"Solo interés",C27=INDEX('Préstamos'!$G$2:$G$101,MATCH($A27,'Préstamos'!$A$2:$A$101,0))),INDEX('Préstamos'!$I$2:$I$101,MATCH($A27,'Préstamos'!$A$2:$A$101,0))-INDEX('Préstamos'!$K$2:$K$101,MATCH($A27,'Préstamos'!$A$2:$A$101,0))*(INDEX('Préstamos'!$G$2:$G$101,MATCH($A27,'Préstamos'!$A$2:$A$101,0))-1),INDEX('Préstamos'!$K$2:$K$101,MATCH($A27,'Préstamos'!$A$2:$A$101,0))))</f>
        <v/>
      </c>
      <c r="H27" s="29">
        <f>IF($A27="","",F27+G27)</f>
        <v/>
      </c>
      <c r="I27" s="14" t="n"/>
      <c r="J27" s="33" t="n"/>
      <c r="K27" s="16">
        <f>IF(OR($A27="",I27="Pagado"),"",MAX(0,TODAY()-E27))</f>
        <v/>
      </c>
      <c r="L27" s="16">
        <f>IF($A27="","",IF(I27="Pagado","Pagado",IF(E27&lt;TODAY(),"Atrasado",IF(E27&lt;=EOMONTH(TODAY(),0),"Este mes","Pendiente"))))</f>
        <v/>
      </c>
      <c r="M27" s="20">
        <f>IF(OR($A27="",I27="Pagado"),"",HYPERLINK("https://wa.me/"&amp;IF(INDEX('Préstamos'!$C$2:$C$101,MATCH($A27,'Préstamos'!$A$2:$A$101,0))="","","51"&amp;SUBSTITUTE(INDEX('Préstamos'!$C$2:$C$101,MATCH($A27,'Préstamos'!$A$2:$A$101,0))," ",""))&amp;"?text="&amp;SUBSTITUTE("Hola "&amp;B27&amp;", te recuerdo que tu cuota de S/ "&amp;H27&amp;IF(E27&lt;TODAY()," vencio el "," vence el ")&amp;TEXT(E27,"dd/mm")&amp;". Gracias!"," ","%20"),"WhatsApp"))</f>
        <v/>
      </c>
    </row>
    <row r="28">
      <c r="A28" s="14" t="n"/>
      <c r="B28" s="16">
        <f>IF($A28="","",INDEX('Préstamos'!$B$2:$B$101,MATCH($A28,'Préstamos'!$A$2:$A$101,0)))</f>
        <v/>
      </c>
      <c r="C28" s="14" t="n"/>
      <c r="D28" s="14" t="n"/>
      <c r="E28" s="33" t="n"/>
      <c r="F28" s="29">
        <f>IF($A28="","",IF(D28="Solo interés",0,IF(AND(D28&lt;&gt;"Solo interés",C28=INDEX('Préstamos'!$G$2:$G$101,MATCH($A28,'Préstamos'!$A$2:$A$101,0))),INDEX('Préstamos'!$D$2:$D$101,MATCH($A28,'Préstamos'!$A$2:$A$101,0))-INDEX('Préstamos'!$J$2:$J$101,MATCH($A28,'Préstamos'!$A$2:$A$101,0))*(INDEX('Préstamos'!$G$2:$G$101,MATCH($A28,'Préstamos'!$A$2:$A$101,0))-1),INDEX('Préstamos'!$J$2:$J$101,MATCH($A28,'Préstamos'!$A$2:$A$101,0)))))</f>
        <v/>
      </c>
      <c r="G28" s="29">
        <f>IF($A28="","",IF(AND(D28&lt;&gt;"Solo interés",C28=INDEX('Préstamos'!$G$2:$G$101,MATCH($A28,'Préstamos'!$A$2:$A$101,0))),INDEX('Préstamos'!$I$2:$I$101,MATCH($A28,'Préstamos'!$A$2:$A$101,0))-INDEX('Préstamos'!$K$2:$K$101,MATCH($A28,'Préstamos'!$A$2:$A$101,0))*(INDEX('Préstamos'!$G$2:$G$101,MATCH($A28,'Préstamos'!$A$2:$A$101,0))-1),INDEX('Préstamos'!$K$2:$K$101,MATCH($A28,'Préstamos'!$A$2:$A$101,0))))</f>
        <v/>
      </c>
      <c r="H28" s="29">
        <f>IF($A28="","",F28+G28)</f>
        <v/>
      </c>
      <c r="I28" s="14" t="n"/>
      <c r="J28" s="33" t="n"/>
      <c r="K28" s="16">
        <f>IF(OR($A28="",I28="Pagado"),"",MAX(0,TODAY()-E28))</f>
        <v/>
      </c>
      <c r="L28" s="16">
        <f>IF($A28="","",IF(I28="Pagado","Pagado",IF(E28&lt;TODAY(),"Atrasado",IF(E28&lt;=EOMONTH(TODAY(),0),"Este mes","Pendiente"))))</f>
        <v/>
      </c>
      <c r="M28" s="20">
        <f>IF(OR($A28="",I28="Pagado"),"",HYPERLINK("https://wa.me/"&amp;IF(INDEX('Préstamos'!$C$2:$C$101,MATCH($A28,'Préstamos'!$A$2:$A$101,0))="","","51"&amp;SUBSTITUTE(INDEX('Préstamos'!$C$2:$C$101,MATCH($A28,'Préstamos'!$A$2:$A$101,0))," ",""))&amp;"?text="&amp;SUBSTITUTE("Hola "&amp;B28&amp;", te recuerdo que tu cuota de S/ "&amp;H28&amp;IF(E28&lt;TODAY()," vencio el "," vence el ")&amp;TEXT(E28,"dd/mm")&amp;". Gracias!"," ","%20"),"WhatsApp"))</f>
        <v/>
      </c>
    </row>
    <row r="29">
      <c r="A29" s="14" t="n"/>
      <c r="B29" s="16">
        <f>IF($A29="","",INDEX('Préstamos'!$B$2:$B$101,MATCH($A29,'Préstamos'!$A$2:$A$101,0)))</f>
        <v/>
      </c>
      <c r="C29" s="14" t="n"/>
      <c r="D29" s="14" t="n"/>
      <c r="E29" s="33" t="n"/>
      <c r="F29" s="29">
        <f>IF($A29="","",IF(D29="Solo interés",0,IF(AND(D29&lt;&gt;"Solo interés",C29=INDEX('Préstamos'!$G$2:$G$101,MATCH($A29,'Préstamos'!$A$2:$A$101,0))),INDEX('Préstamos'!$D$2:$D$101,MATCH($A29,'Préstamos'!$A$2:$A$101,0))-INDEX('Préstamos'!$J$2:$J$101,MATCH($A29,'Préstamos'!$A$2:$A$101,0))*(INDEX('Préstamos'!$G$2:$G$101,MATCH($A29,'Préstamos'!$A$2:$A$101,0))-1),INDEX('Préstamos'!$J$2:$J$101,MATCH($A29,'Préstamos'!$A$2:$A$101,0)))))</f>
        <v/>
      </c>
      <c r="G29" s="29">
        <f>IF($A29="","",IF(AND(D29&lt;&gt;"Solo interés",C29=INDEX('Préstamos'!$G$2:$G$101,MATCH($A29,'Préstamos'!$A$2:$A$101,0))),INDEX('Préstamos'!$I$2:$I$101,MATCH($A29,'Préstamos'!$A$2:$A$101,0))-INDEX('Préstamos'!$K$2:$K$101,MATCH($A29,'Préstamos'!$A$2:$A$101,0))*(INDEX('Préstamos'!$G$2:$G$101,MATCH($A29,'Préstamos'!$A$2:$A$101,0))-1),INDEX('Préstamos'!$K$2:$K$101,MATCH($A29,'Préstamos'!$A$2:$A$101,0))))</f>
        <v/>
      </c>
      <c r="H29" s="29">
        <f>IF($A29="","",F29+G29)</f>
        <v/>
      </c>
      <c r="I29" s="14" t="n"/>
      <c r="J29" s="33" t="n"/>
      <c r="K29" s="16">
        <f>IF(OR($A29="",I29="Pagado"),"",MAX(0,TODAY()-E29))</f>
        <v/>
      </c>
      <c r="L29" s="16">
        <f>IF($A29="","",IF(I29="Pagado","Pagado",IF(E29&lt;TODAY(),"Atrasado",IF(E29&lt;=EOMONTH(TODAY(),0),"Este mes","Pendiente"))))</f>
        <v/>
      </c>
      <c r="M29" s="20">
        <f>IF(OR($A29="",I29="Pagado"),"",HYPERLINK("https://wa.me/"&amp;IF(INDEX('Préstamos'!$C$2:$C$101,MATCH($A29,'Préstamos'!$A$2:$A$101,0))="","","51"&amp;SUBSTITUTE(INDEX('Préstamos'!$C$2:$C$101,MATCH($A29,'Préstamos'!$A$2:$A$101,0))," ",""))&amp;"?text="&amp;SUBSTITUTE("Hola "&amp;B29&amp;", te recuerdo que tu cuota de S/ "&amp;H29&amp;IF(E29&lt;TODAY()," vencio el "," vence el ")&amp;TEXT(E29,"dd/mm")&amp;". Gracias!"," ","%20"),"WhatsApp"))</f>
        <v/>
      </c>
    </row>
    <row r="30">
      <c r="A30" s="14" t="n"/>
      <c r="B30" s="16">
        <f>IF($A30="","",INDEX('Préstamos'!$B$2:$B$101,MATCH($A30,'Préstamos'!$A$2:$A$101,0)))</f>
        <v/>
      </c>
      <c r="C30" s="14" t="n"/>
      <c r="D30" s="14" t="n"/>
      <c r="E30" s="33" t="n"/>
      <c r="F30" s="29">
        <f>IF($A30="","",IF(D30="Solo interés",0,IF(AND(D30&lt;&gt;"Solo interés",C30=INDEX('Préstamos'!$G$2:$G$101,MATCH($A30,'Préstamos'!$A$2:$A$101,0))),INDEX('Préstamos'!$D$2:$D$101,MATCH($A30,'Préstamos'!$A$2:$A$101,0))-INDEX('Préstamos'!$J$2:$J$101,MATCH($A30,'Préstamos'!$A$2:$A$101,0))*(INDEX('Préstamos'!$G$2:$G$101,MATCH($A30,'Préstamos'!$A$2:$A$101,0))-1),INDEX('Préstamos'!$J$2:$J$101,MATCH($A30,'Préstamos'!$A$2:$A$101,0)))))</f>
        <v/>
      </c>
      <c r="G30" s="29">
        <f>IF($A30="","",IF(AND(D30&lt;&gt;"Solo interés",C30=INDEX('Préstamos'!$G$2:$G$101,MATCH($A30,'Préstamos'!$A$2:$A$101,0))),INDEX('Préstamos'!$I$2:$I$101,MATCH($A30,'Préstamos'!$A$2:$A$101,0))-INDEX('Préstamos'!$K$2:$K$101,MATCH($A30,'Préstamos'!$A$2:$A$101,0))*(INDEX('Préstamos'!$G$2:$G$101,MATCH($A30,'Préstamos'!$A$2:$A$101,0))-1),INDEX('Préstamos'!$K$2:$K$101,MATCH($A30,'Préstamos'!$A$2:$A$101,0))))</f>
        <v/>
      </c>
      <c r="H30" s="29">
        <f>IF($A30="","",F30+G30)</f>
        <v/>
      </c>
      <c r="I30" s="14" t="n"/>
      <c r="J30" s="33" t="n"/>
      <c r="K30" s="16">
        <f>IF(OR($A30="",I30="Pagado"),"",MAX(0,TODAY()-E30))</f>
        <v/>
      </c>
      <c r="L30" s="16">
        <f>IF($A30="","",IF(I30="Pagado","Pagado",IF(E30&lt;TODAY(),"Atrasado",IF(E30&lt;=EOMONTH(TODAY(),0),"Este mes","Pendiente"))))</f>
        <v/>
      </c>
      <c r="M30" s="20">
        <f>IF(OR($A30="",I30="Pagado"),"",HYPERLINK("https://wa.me/"&amp;IF(INDEX('Préstamos'!$C$2:$C$101,MATCH($A30,'Préstamos'!$A$2:$A$101,0))="","","51"&amp;SUBSTITUTE(INDEX('Préstamos'!$C$2:$C$101,MATCH($A30,'Préstamos'!$A$2:$A$101,0))," ",""))&amp;"?text="&amp;SUBSTITUTE("Hola "&amp;B30&amp;", te recuerdo que tu cuota de S/ "&amp;H30&amp;IF(E30&lt;TODAY()," vencio el "," vence el ")&amp;TEXT(E30,"dd/mm")&amp;". Gracias!"," ","%20"),"WhatsApp"))</f>
        <v/>
      </c>
    </row>
    <row r="31">
      <c r="A31" s="14" t="n"/>
      <c r="B31" s="16">
        <f>IF($A31="","",INDEX('Préstamos'!$B$2:$B$101,MATCH($A31,'Préstamos'!$A$2:$A$101,0)))</f>
        <v/>
      </c>
      <c r="C31" s="14" t="n"/>
      <c r="D31" s="14" t="n"/>
      <c r="E31" s="33" t="n"/>
      <c r="F31" s="29">
        <f>IF($A31="","",IF(D31="Solo interés",0,IF(AND(D31&lt;&gt;"Solo interés",C31=INDEX('Préstamos'!$G$2:$G$101,MATCH($A31,'Préstamos'!$A$2:$A$101,0))),INDEX('Préstamos'!$D$2:$D$101,MATCH($A31,'Préstamos'!$A$2:$A$101,0))-INDEX('Préstamos'!$J$2:$J$101,MATCH($A31,'Préstamos'!$A$2:$A$101,0))*(INDEX('Préstamos'!$G$2:$G$101,MATCH($A31,'Préstamos'!$A$2:$A$101,0))-1),INDEX('Préstamos'!$J$2:$J$101,MATCH($A31,'Préstamos'!$A$2:$A$101,0)))))</f>
        <v/>
      </c>
      <c r="G31" s="29">
        <f>IF($A31="","",IF(AND(D31&lt;&gt;"Solo interés",C31=INDEX('Préstamos'!$G$2:$G$101,MATCH($A31,'Préstamos'!$A$2:$A$101,0))),INDEX('Préstamos'!$I$2:$I$101,MATCH($A31,'Préstamos'!$A$2:$A$101,0))-INDEX('Préstamos'!$K$2:$K$101,MATCH($A31,'Préstamos'!$A$2:$A$101,0))*(INDEX('Préstamos'!$G$2:$G$101,MATCH($A31,'Préstamos'!$A$2:$A$101,0))-1),INDEX('Préstamos'!$K$2:$K$101,MATCH($A31,'Préstamos'!$A$2:$A$101,0))))</f>
        <v/>
      </c>
      <c r="H31" s="29">
        <f>IF($A31="","",F31+G31)</f>
        <v/>
      </c>
      <c r="I31" s="14" t="n"/>
      <c r="J31" s="33" t="n"/>
      <c r="K31" s="16">
        <f>IF(OR($A31="",I31="Pagado"),"",MAX(0,TODAY()-E31))</f>
        <v/>
      </c>
      <c r="L31" s="16">
        <f>IF($A31="","",IF(I31="Pagado","Pagado",IF(E31&lt;TODAY(),"Atrasado",IF(E31&lt;=EOMONTH(TODAY(),0),"Este mes","Pendiente"))))</f>
        <v/>
      </c>
      <c r="M31" s="20">
        <f>IF(OR($A31="",I31="Pagado"),"",HYPERLINK("https://wa.me/"&amp;IF(INDEX('Préstamos'!$C$2:$C$101,MATCH($A31,'Préstamos'!$A$2:$A$101,0))="","","51"&amp;SUBSTITUTE(INDEX('Préstamos'!$C$2:$C$101,MATCH($A31,'Préstamos'!$A$2:$A$101,0))," ",""))&amp;"?text="&amp;SUBSTITUTE("Hola "&amp;B31&amp;", te recuerdo que tu cuota de S/ "&amp;H31&amp;IF(E31&lt;TODAY()," vencio el "," vence el ")&amp;TEXT(E31,"dd/mm")&amp;". Gracias!"," ","%20"),"WhatsApp"))</f>
        <v/>
      </c>
    </row>
    <row r="32">
      <c r="A32" s="14" t="n"/>
      <c r="B32" s="16">
        <f>IF($A32="","",INDEX('Préstamos'!$B$2:$B$101,MATCH($A32,'Préstamos'!$A$2:$A$101,0)))</f>
        <v/>
      </c>
      <c r="C32" s="14" t="n"/>
      <c r="D32" s="14" t="n"/>
      <c r="E32" s="33" t="n"/>
      <c r="F32" s="29">
        <f>IF($A32="","",IF(D32="Solo interés",0,IF(AND(D32&lt;&gt;"Solo interés",C32=INDEX('Préstamos'!$G$2:$G$101,MATCH($A32,'Préstamos'!$A$2:$A$101,0))),INDEX('Préstamos'!$D$2:$D$101,MATCH($A32,'Préstamos'!$A$2:$A$101,0))-INDEX('Préstamos'!$J$2:$J$101,MATCH($A32,'Préstamos'!$A$2:$A$101,0))*(INDEX('Préstamos'!$G$2:$G$101,MATCH($A32,'Préstamos'!$A$2:$A$101,0))-1),INDEX('Préstamos'!$J$2:$J$101,MATCH($A32,'Préstamos'!$A$2:$A$101,0)))))</f>
        <v/>
      </c>
      <c r="G32" s="29">
        <f>IF($A32="","",IF(AND(D32&lt;&gt;"Solo interés",C32=INDEX('Préstamos'!$G$2:$G$101,MATCH($A32,'Préstamos'!$A$2:$A$101,0))),INDEX('Préstamos'!$I$2:$I$101,MATCH($A32,'Préstamos'!$A$2:$A$101,0))-INDEX('Préstamos'!$K$2:$K$101,MATCH($A32,'Préstamos'!$A$2:$A$101,0))*(INDEX('Préstamos'!$G$2:$G$101,MATCH($A32,'Préstamos'!$A$2:$A$101,0))-1),INDEX('Préstamos'!$K$2:$K$101,MATCH($A32,'Préstamos'!$A$2:$A$101,0))))</f>
        <v/>
      </c>
      <c r="H32" s="29">
        <f>IF($A32="","",F32+G32)</f>
        <v/>
      </c>
      <c r="I32" s="14" t="n"/>
      <c r="J32" s="33" t="n"/>
      <c r="K32" s="16">
        <f>IF(OR($A32="",I32="Pagado"),"",MAX(0,TODAY()-E32))</f>
        <v/>
      </c>
      <c r="L32" s="16">
        <f>IF($A32="","",IF(I32="Pagado","Pagado",IF(E32&lt;TODAY(),"Atrasado",IF(E32&lt;=EOMONTH(TODAY(),0),"Este mes","Pendiente"))))</f>
        <v/>
      </c>
      <c r="M32" s="20">
        <f>IF(OR($A32="",I32="Pagado"),"",HYPERLINK("https://wa.me/"&amp;IF(INDEX('Préstamos'!$C$2:$C$101,MATCH($A32,'Préstamos'!$A$2:$A$101,0))="","","51"&amp;SUBSTITUTE(INDEX('Préstamos'!$C$2:$C$101,MATCH($A32,'Préstamos'!$A$2:$A$101,0))," ",""))&amp;"?text="&amp;SUBSTITUTE("Hola "&amp;B32&amp;", te recuerdo que tu cuota de S/ "&amp;H32&amp;IF(E32&lt;TODAY()," vencio el "," vence el ")&amp;TEXT(E32,"dd/mm")&amp;". Gracias!"," ","%20"),"WhatsApp"))</f>
        <v/>
      </c>
    </row>
    <row r="33">
      <c r="A33" s="14" t="n"/>
      <c r="B33" s="16">
        <f>IF($A33="","",INDEX('Préstamos'!$B$2:$B$101,MATCH($A33,'Préstamos'!$A$2:$A$101,0)))</f>
        <v/>
      </c>
      <c r="C33" s="14" t="n"/>
      <c r="D33" s="14" t="n"/>
      <c r="E33" s="33" t="n"/>
      <c r="F33" s="29">
        <f>IF($A33="","",IF(D33="Solo interés",0,IF(AND(D33&lt;&gt;"Solo interés",C33=INDEX('Préstamos'!$G$2:$G$101,MATCH($A33,'Préstamos'!$A$2:$A$101,0))),INDEX('Préstamos'!$D$2:$D$101,MATCH($A33,'Préstamos'!$A$2:$A$101,0))-INDEX('Préstamos'!$J$2:$J$101,MATCH($A33,'Préstamos'!$A$2:$A$101,0))*(INDEX('Préstamos'!$G$2:$G$101,MATCH($A33,'Préstamos'!$A$2:$A$101,0))-1),INDEX('Préstamos'!$J$2:$J$101,MATCH($A33,'Préstamos'!$A$2:$A$101,0)))))</f>
        <v/>
      </c>
      <c r="G33" s="29">
        <f>IF($A33="","",IF(AND(D33&lt;&gt;"Solo interés",C33=INDEX('Préstamos'!$G$2:$G$101,MATCH($A33,'Préstamos'!$A$2:$A$101,0))),INDEX('Préstamos'!$I$2:$I$101,MATCH($A33,'Préstamos'!$A$2:$A$101,0))-INDEX('Préstamos'!$K$2:$K$101,MATCH($A33,'Préstamos'!$A$2:$A$101,0))*(INDEX('Préstamos'!$G$2:$G$101,MATCH($A33,'Préstamos'!$A$2:$A$101,0))-1),INDEX('Préstamos'!$K$2:$K$101,MATCH($A33,'Préstamos'!$A$2:$A$101,0))))</f>
        <v/>
      </c>
      <c r="H33" s="29">
        <f>IF($A33="","",F33+G33)</f>
        <v/>
      </c>
      <c r="I33" s="14" t="n"/>
      <c r="J33" s="33" t="n"/>
      <c r="K33" s="16">
        <f>IF(OR($A33="",I33="Pagado"),"",MAX(0,TODAY()-E33))</f>
        <v/>
      </c>
      <c r="L33" s="16">
        <f>IF($A33="","",IF(I33="Pagado","Pagado",IF(E33&lt;TODAY(),"Atrasado",IF(E33&lt;=EOMONTH(TODAY(),0),"Este mes","Pendiente"))))</f>
        <v/>
      </c>
      <c r="M33" s="20">
        <f>IF(OR($A33="",I33="Pagado"),"",HYPERLINK("https://wa.me/"&amp;IF(INDEX('Préstamos'!$C$2:$C$101,MATCH($A33,'Préstamos'!$A$2:$A$101,0))="","","51"&amp;SUBSTITUTE(INDEX('Préstamos'!$C$2:$C$101,MATCH($A33,'Préstamos'!$A$2:$A$101,0))," ",""))&amp;"?text="&amp;SUBSTITUTE("Hola "&amp;B33&amp;", te recuerdo que tu cuota de S/ "&amp;H33&amp;IF(E33&lt;TODAY()," vencio el "," vence el ")&amp;TEXT(E33,"dd/mm")&amp;". Gracias!"," ","%20"),"WhatsApp"))</f>
        <v/>
      </c>
    </row>
    <row r="34">
      <c r="A34" s="14" t="n"/>
      <c r="B34" s="16">
        <f>IF($A34="","",INDEX('Préstamos'!$B$2:$B$101,MATCH($A34,'Préstamos'!$A$2:$A$101,0)))</f>
        <v/>
      </c>
      <c r="C34" s="14" t="n"/>
      <c r="D34" s="14" t="n"/>
      <c r="E34" s="33" t="n"/>
      <c r="F34" s="29">
        <f>IF($A34="","",IF(D34="Solo interés",0,IF(AND(D34&lt;&gt;"Solo interés",C34=INDEX('Préstamos'!$G$2:$G$101,MATCH($A34,'Préstamos'!$A$2:$A$101,0))),INDEX('Préstamos'!$D$2:$D$101,MATCH($A34,'Préstamos'!$A$2:$A$101,0))-INDEX('Préstamos'!$J$2:$J$101,MATCH($A34,'Préstamos'!$A$2:$A$101,0))*(INDEX('Préstamos'!$G$2:$G$101,MATCH($A34,'Préstamos'!$A$2:$A$101,0))-1),INDEX('Préstamos'!$J$2:$J$101,MATCH($A34,'Préstamos'!$A$2:$A$101,0)))))</f>
        <v/>
      </c>
      <c r="G34" s="29">
        <f>IF($A34="","",IF(AND(D34&lt;&gt;"Solo interés",C34=INDEX('Préstamos'!$G$2:$G$101,MATCH($A34,'Préstamos'!$A$2:$A$101,0))),INDEX('Préstamos'!$I$2:$I$101,MATCH($A34,'Préstamos'!$A$2:$A$101,0))-INDEX('Préstamos'!$K$2:$K$101,MATCH($A34,'Préstamos'!$A$2:$A$101,0))*(INDEX('Préstamos'!$G$2:$G$101,MATCH($A34,'Préstamos'!$A$2:$A$101,0))-1),INDEX('Préstamos'!$K$2:$K$101,MATCH($A34,'Préstamos'!$A$2:$A$101,0))))</f>
        <v/>
      </c>
      <c r="H34" s="29">
        <f>IF($A34="","",F34+G34)</f>
        <v/>
      </c>
      <c r="I34" s="14" t="n"/>
      <c r="J34" s="33" t="n"/>
      <c r="K34" s="16">
        <f>IF(OR($A34="",I34="Pagado"),"",MAX(0,TODAY()-E34))</f>
        <v/>
      </c>
      <c r="L34" s="16">
        <f>IF($A34="","",IF(I34="Pagado","Pagado",IF(E34&lt;TODAY(),"Atrasado",IF(E34&lt;=EOMONTH(TODAY(),0),"Este mes","Pendiente"))))</f>
        <v/>
      </c>
      <c r="M34" s="20">
        <f>IF(OR($A34="",I34="Pagado"),"",HYPERLINK("https://wa.me/"&amp;IF(INDEX('Préstamos'!$C$2:$C$101,MATCH($A34,'Préstamos'!$A$2:$A$101,0))="","","51"&amp;SUBSTITUTE(INDEX('Préstamos'!$C$2:$C$101,MATCH($A34,'Préstamos'!$A$2:$A$101,0))," ",""))&amp;"?text="&amp;SUBSTITUTE("Hola "&amp;B34&amp;", te recuerdo que tu cuota de S/ "&amp;H34&amp;IF(E34&lt;TODAY()," vencio el "," vence el ")&amp;TEXT(E34,"dd/mm")&amp;". Gracias!"," ","%20"),"WhatsApp"))</f>
        <v/>
      </c>
    </row>
    <row r="35">
      <c r="A35" s="14" t="n"/>
      <c r="B35" s="16">
        <f>IF($A35="","",INDEX('Préstamos'!$B$2:$B$101,MATCH($A35,'Préstamos'!$A$2:$A$101,0)))</f>
        <v/>
      </c>
      <c r="C35" s="14" t="n"/>
      <c r="D35" s="14" t="n"/>
      <c r="E35" s="33" t="n"/>
      <c r="F35" s="29">
        <f>IF($A35="","",IF(D35="Solo interés",0,IF(AND(D35&lt;&gt;"Solo interés",C35=INDEX('Préstamos'!$G$2:$G$101,MATCH($A35,'Préstamos'!$A$2:$A$101,0))),INDEX('Préstamos'!$D$2:$D$101,MATCH($A35,'Préstamos'!$A$2:$A$101,0))-INDEX('Préstamos'!$J$2:$J$101,MATCH($A35,'Préstamos'!$A$2:$A$101,0))*(INDEX('Préstamos'!$G$2:$G$101,MATCH($A35,'Préstamos'!$A$2:$A$101,0))-1),INDEX('Préstamos'!$J$2:$J$101,MATCH($A35,'Préstamos'!$A$2:$A$101,0)))))</f>
        <v/>
      </c>
      <c r="G35" s="29">
        <f>IF($A35="","",IF(AND(D35&lt;&gt;"Solo interés",C35=INDEX('Préstamos'!$G$2:$G$101,MATCH($A35,'Préstamos'!$A$2:$A$101,0))),INDEX('Préstamos'!$I$2:$I$101,MATCH($A35,'Préstamos'!$A$2:$A$101,0))-INDEX('Préstamos'!$K$2:$K$101,MATCH($A35,'Préstamos'!$A$2:$A$101,0))*(INDEX('Préstamos'!$G$2:$G$101,MATCH($A35,'Préstamos'!$A$2:$A$101,0))-1),INDEX('Préstamos'!$K$2:$K$101,MATCH($A35,'Préstamos'!$A$2:$A$101,0))))</f>
        <v/>
      </c>
      <c r="H35" s="29">
        <f>IF($A35="","",F35+G35)</f>
        <v/>
      </c>
      <c r="I35" s="14" t="n"/>
      <c r="J35" s="33" t="n"/>
      <c r="K35" s="16">
        <f>IF(OR($A35="",I35="Pagado"),"",MAX(0,TODAY()-E35))</f>
        <v/>
      </c>
      <c r="L35" s="16">
        <f>IF($A35="","",IF(I35="Pagado","Pagado",IF(E35&lt;TODAY(),"Atrasado",IF(E35&lt;=EOMONTH(TODAY(),0),"Este mes","Pendiente"))))</f>
        <v/>
      </c>
      <c r="M35" s="20">
        <f>IF(OR($A35="",I35="Pagado"),"",HYPERLINK("https://wa.me/"&amp;IF(INDEX('Préstamos'!$C$2:$C$101,MATCH($A35,'Préstamos'!$A$2:$A$101,0))="","","51"&amp;SUBSTITUTE(INDEX('Préstamos'!$C$2:$C$101,MATCH($A35,'Préstamos'!$A$2:$A$101,0))," ",""))&amp;"?text="&amp;SUBSTITUTE("Hola "&amp;B35&amp;", te recuerdo que tu cuota de S/ "&amp;H35&amp;IF(E35&lt;TODAY()," vencio el "," vence el ")&amp;TEXT(E35,"dd/mm")&amp;". Gracias!"," ","%20"),"WhatsApp"))</f>
        <v/>
      </c>
    </row>
    <row r="36">
      <c r="A36" s="14" t="n"/>
      <c r="B36" s="16">
        <f>IF($A36="","",INDEX('Préstamos'!$B$2:$B$101,MATCH($A36,'Préstamos'!$A$2:$A$101,0)))</f>
        <v/>
      </c>
      <c r="C36" s="14" t="n"/>
      <c r="D36" s="14" t="n"/>
      <c r="E36" s="33" t="n"/>
      <c r="F36" s="29">
        <f>IF($A36="","",IF(D36="Solo interés",0,IF(AND(D36&lt;&gt;"Solo interés",C36=INDEX('Préstamos'!$G$2:$G$101,MATCH($A36,'Préstamos'!$A$2:$A$101,0))),INDEX('Préstamos'!$D$2:$D$101,MATCH($A36,'Préstamos'!$A$2:$A$101,0))-INDEX('Préstamos'!$J$2:$J$101,MATCH($A36,'Préstamos'!$A$2:$A$101,0))*(INDEX('Préstamos'!$G$2:$G$101,MATCH($A36,'Préstamos'!$A$2:$A$101,0))-1),INDEX('Préstamos'!$J$2:$J$101,MATCH($A36,'Préstamos'!$A$2:$A$101,0)))))</f>
        <v/>
      </c>
      <c r="G36" s="29">
        <f>IF($A36="","",IF(AND(D36&lt;&gt;"Solo interés",C36=INDEX('Préstamos'!$G$2:$G$101,MATCH($A36,'Préstamos'!$A$2:$A$101,0))),INDEX('Préstamos'!$I$2:$I$101,MATCH($A36,'Préstamos'!$A$2:$A$101,0))-INDEX('Préstamos'!$K$2:$K$101,MATCH($A36,'Préstamos'!$A$2:$A$101,0))*(INDEX('Préstamos'!$G$2:$G$101,MATCH($A36,'Préstamos'!$A$2:$A$101,0))-1),INDEX('Préstamos'!$K$2:$K$101,MATCH($A36,'Préstamos'!$A$2:$A$101,0))))</f>
        <v/>
      </c>
      <c r="H36" s="29">
        <f>IF($A36="","",F36+G36)</f>
        <v/>
      </c>
      <c r="I36" s="14" t="n"/>
      <c r="J36" s="33" t="n"/>
      <c r="K36" s="16">
        <f>IF(OR($A36="",I36="Pagado"),"",MAX(0,TODAY()-E36))</f>
        <v/>
      </c>
      <c r="L36" s="16">
        <f>IF($A36="","",IF(I36="Pagado","Pagado",IF(E36&lt;TODAY(),"Atrasado",IF(E36&lt;=EOMONTH(TODAY(),0),"Este mes","Pendiente"))))</f>
        <v/>
      </c>
      <c r="M36" s="20">
        <f>IF(OR($A36="",I36="Pagado"),"",HYPERLINK("https://wa.me/"&amp;IF(INDEX('Préstamos'!$C$2:$C$101,MATCH($A36,'Préstamos'!$A$2:$A$101,0))="","","51"&amp;SUBSTITUTE(INDEX('Préstamos'!$C$2:$C$101,MATCH($A36,'Préstamos'!$A$2:$A$101,0))," ",""))&amp;"?text="&amp;SUBSTITUTE("Hola "&amp;B36&amp;", te recuerdo que tu cuota de S/ "&amp;H36&amp;IF(E36&lt;TODAY()," vencio el "," vence el ")&amp;TEXT(E36,"dd/mm")&amp;". Gracias!"," ","%20"),"WhatsApp"))</f>
        <v/>
      </c>
    </row>
    <row r="37">
      <c r="A37" s="14" t="n"/>
      <c r="B37" s="16">
        <f>IF($A37="","",INDEX('Préstamos'!$B$2:$B$101,MATCH($A37,'Préstamos'!$A$2:$A$101,0)))</f>
        <v/>
      </c>
      <c r="C37" s="14" t="n"/>
      <c r="D37" s="14" t="n"/>
      <c r="E37" s="33" t="n"/>
      <c r="F37" s="29">
        <f>IF($A37="","",IF(D37="Solo interés",0,IF(AND(D37&lt;&gt;"Solo interés",C37=INDEX('Préstamos'!$G$2:$G$101,MATCH($A37,'Préstamos'!$A$2:$A$101,0))),INDEX('Préstamos'!$D$2:$D$101,MATCH($A37,'Préstamos'!$A$2:$A$101,0))-INDEX('Préstamos'!$J$2:$J$101,MATCH($A37,'Préstamos'!$A$2:$A$101,0))*(INDEX('Préstamos'!$G$2:$G$101,MATCH($A37,'Préstamos'!$A$2:$A$101,0))-1),INDEX('Préstamos'!$J$2:$J$101,MATCH($A37,'Préstamos'!$A$2:$A$101,0)))))</f>
        <v/>
      </c>
      <c r="G37" s="29">
        <f>IF($A37="","",IF(AND(D37&lt;&gt;"Solo interés",C37=INDEX('Préstamos'!$G$2:$G$101,MATCH($A37,'Préstamos'!$A$2:$A$101,0))),INDEX('Préstamos'!$I$2:$I$101,MATCH($A37,'Préstamos'!$A$2:$A$101,0))-INDEX('Préstamos'!$K$2:$K$101,MATCH($A37,'Préstamos'!$A$2:$A$101,0))*(INDEX('Préstamos'!$G$2:$G$101,MATCH($A37,'Préstamos'!$A$2:$A$101,0))-1),INDEX('Préstamos'!$K$2:$K$101,MATCH($A37,'Préstamos'!$A$2:$A$101,0))))</f>
        <v/>
      </c>
      <c r="H37" s="29">
        <f>IF($A37="","",F37+G37)</f>
        <v/>
      </c>
      <c r="I37" s="14" t="n"/>
      <c r="J37" s="33" t="n"/>
      <c r="K37" s="16">
        <f>IF(OR($A37="",I37="Pagado"),"",MAX(0,TODAY()-E37))</f>
        <v/>
      </c>
      <c r="L37" s="16">
        <f>IF($A37="","",IF(I37="Pagado","Pagado",IF(E37&lt;TODAY(),"Atrasado",IF(E37&lt;=EOMONTH(TODAY(),0),"Este mes","Pendiente"))))</f>
        <v/>
      </c>
      <c r="M37" s="20">
        <f>IF(OR($A37="",I37="Pagado"),"",HYPERLINK("https://wa.me/"&amp;IF(INDEX('Préstamos'!$C$2:$C$101,MATCH($A37,'Préstamos'!$A$2:$A$101,0))="","","51"&amp;SUBSTITUTE(INDEX('Préstamos'!$C$2:$C$101,MATCH($A37,'Préstamos'!$A$2:$A$101,0))," ",""))&amp;"?text="&amp;SUBSTITUTE("Hola "&amp;B37&amp;", te recuerdo que tu cuota de S/ "&amp;H37&amp;IF(E37&lt;TODAY()," vencio el "," vence el ")&amp;TEXT(E37,"dd/mm")&amp;". Gracias!"," ","%20"),"WhatsApp"))</f>
        <v/>
      </c>
    </row>
    <row r="38">
      <c r="A38" s="14" t="n"/>
      <c r="B38" s="16">
        <f>IF($A38="","",INDEX('Préstamos'!$B$2:$B$101,MATCH($A38,'Préstamos'!$A$2:$A$101,0)))</f>
        <v/>
      </c>
      <c r="C38" s="14" t="n"/>
      <c r="D38" s="14" t="n"/>
      <c r="E38" s="33" t="n"/>
      <c r="F38" s="29">
        <f>IF($A38="","",IF(D38="Solo interés",0,IF(AND(D38&lt;&gt;"Solo interés",C38=INDEX('Préstamos'!$G$2:$G$101,MATCH($A38,'Préstamos'!$A$2:$A$101,0))),INDEX('Préstamos'!$D$2:$D$101,MATCH($A38,'Préstamos'!$A$2:$A$101,0))-INDEX('Préstamos'!$J$2:$J$101,MATCH($A38,'Préstamos'!$A$2:$A$101,0))*(INDEX('Préstamos'!$G$2:$G$101,MATCH($A38,'Préstamos'!$A$2:$A$101,0))-1),INDEX('Préstamos'!$J$2:$J$101,MATCH($A38,'Préstamos'!$A$2:$A$101,0)))))</f>
        <v/>
      </c>
      <c r="G38" s="29">
        <f>IF($A38="","",IF(AND(D38&lt;&gt;"Solo interés",C38=INDEX('Préstamos'!$G$2:$G$101,MATCH($A38,'Préstamos'!$A$2:$A$101,0))),INDEX('Préstamos'!$I$2:$I$101,MATCH($A38,'Préstamos'!$A$2:$A$101,0))-INDEX('Préstamos'!$K$2:$K$101,MATCH($A38,'Préstamos'!$A$2:$A$101,0))*(INDEX('Préstamos'!$G$2:$G$101,MATCH($A38,'Préstamos'!$A$2:$A$101,0))-1),INDEX('Préstamos'!$K$2:$K$101,MATCH($A38,'Préstamos'!$A$2:$A$101,0))))</f>
        <v/>
      </c>
      <c r="H38" s="29">
        <f>IF($A38="","",F38+G38)</f>
        <v/>
      </c>
      <c r="I38" s="14" t="n"/>
      <c r="J38" s="33" t="n"/>
      <c r="K38" s="16">
        <f>IF(OR($A38="",I38="Pagado"),"",MAX(0,TODAY()-E38))</f>
        <v/>
      </c>
      <c r="L38" s="16">
        <f>IF($A38="","",IF(I38="Pagado","Pagado",IF(E38&lt;TODAY(),"Atrasado",IF(E38&lt;=EOMONTH(TODAY(),0),"Este mes","Pendiente"))))</f>
        <v/>
      </c>
      <c r="M38" s="20">
        <f>IF(OR($A38="",I38="Pagado"),"",HYPERLINK("https://wa.me/"&amp;IF(INDEX('Préstamos'!$C$2:$C$101,MATCH($A38,'Préstamos'!$A$2:$A$101,0))="","","51"&amp;SUBSTITUTE(INDEX('Préstamos'!$C$2:$C$101,MATCH($A38,'Préstamos'!$A$2:$A$101,0))," ",""))&amp;"?text="&amp;SUBSTITUTE("Hola "&amp;B38&amp;", te recuerdo que tu cuota de S/ "&amp;H38&amp;IF(E38&lt;TODAY()," vencio el "," vence el ")&amp;TEXT(E38,"dd/mm")&amp;". Gracias!"," ","%20"),"WhatsApp"))</f>
        <v/>
      </c>
    </row>
    <row r="39">
      <c r="A39" s="14" t="n"/>
      <c r="B39" s="16">
        <f>IF($A39="","",INDEX('Préstamos'!$B$2:$B$101,MATCH($A39,'Préstamos'!$A$2:$A$101,0)))</f>
        <v/>
      </c>
      <c r="C39" s="14" t="n"/>
      <c r="D39" s="14" t="n"/>
      <c r="E39" s="33" t="n"/>
      <c r="F39" s="29">
        <f>IF($A39="","",IF(D39="Solo interés",0,IF(AND(D39&lt;&gt;"Solo interés",C39=INDEX('Préstamos'!$G$2:$G$101,MATCH($A39,'Préstamos'!$A$2:$A$101,0))),INDEX('Préstamos'!$D$2:$D$101,MATCH($A39,'Préstamos'!$A$2:$A$101,0))-INDEX('Préstamos'!$J$2:$J$101,MATCH($A39,'Préstamos'!$A$2:$A$101,0))*(INDEX('Préstamos'!$G$2:$G$101,MATCH($A39,'Préstamos'!$A$2:$A$101,0))-1),INDEX('Préstamos'!$J$2:$J$101,MATCH($A39,'Préstamos'!$A$2:$A$101,0)))))</f>
        <v/>
      </c>
      <c r="G39" s="29">
        <f>IF($A39="","",IF(AND(D39&lt;&gt;"Solo interés",C39=INDEX('Préstamos'!$G$2:$G$101,MATCH($A39,'Préstamos'!$A$2:$A$101,0))),INDEX('Préstamos'!$I$2:$I$101,MATCH($A39,'Préstamos'!$A$2:$A$101,0))-INDEX('Préstamos'!$K$2:$K$101,MATCH($A39,'Préstamos'!$A$2:$A$101,0))*(INDEX('Préstamos'!$G$2:$G$101,MATCH($A39,'Préstamos'!$A$2:$A$101,0))-1),INDEX('Préstamos'!$K$2:$K$101,MATCH($A39,'Préstamos'!$A$2:$A$101,0))))</f>
        <v/>
      </c>
      <c r="H39" s="29">
        <f>IF($A39="","",F39+G39)</f>
        <v/>
      </c>
      <c r="I39" s="14" t="n"/>
      <c r="J39" s="33" t="n"/>
      <c r="K39" s="16">
        <f>IF(OR($A39="",I39="Pagado"),"",MAX(0,TODAY()-E39))</f>
        <v/>
      </c>
      <c r="L39" s="16">
        <f>IF($A39="","",IF(I39="Pagado","Pagado",IF(E39&lt;TODAY(),"Atrasado",IF(E39&lt;=EOMONTH(TODAY(),0),"Este mes","Pendiente"))))</f>
        <v/>
      </c>
      <c r="M39" s="20">
        <f>IF(OR($A39="",I39="Pagado"),"",HYPERLINK("https://wa.me/"&amp;IF(INDEX('Préstamos'!$C$2:$C$101,MATCH($A39,'Préstamos'!$A$2:$A$101,0))="","","51"&amp;SUBSTITUTE(INDEX('Préstamos'!$C$2:$C$101,MATCH($A39,'Préstamos'!$A$2:$A$101,0))," ",""))&amp;"?text="&amp;SUBSTITUTE("Hola "&amp;B39&amp;", te recuerdo que tu cuota de S/ "&amp;H39&amp;IF(E39&lt;TODAY()," vencio el "," vence el ")&amp;TEXT(E39,"dd/mm")&amp;". Gracias!"," ","%20"),"WhatsApp"))</f>
        <v/>
      </c>
    </row>
    <row r="40">
      <c r="A40" s="14" t="n"/>
      <c r="B40" s="16">
        <f>IF($A40="","",INDEX('Préstamos'!$B$2:$B$101,MATCH($A40,'Préstamos'!$A$2:$A$101,0)))</f>
        <v/>
      </c>
      <c r="C40" s="14" t="n"/>
      <c r="D40" s="14" t="n"/>
      <c r="E40" s="33" t="n"/>
      <c r="F40" s="29">
        <f>IF($A40="","",IF(D40="Solo interés",0,IF(AND(D40&lt;&gt;"Solo interés",C40=INDEX('Préstamos'!$G$2:$G$101,MATCH($A40,'Préstamos'!$A$2:$A$101,0))),INDEX('Préstamos'!$D$2:$D$101,MATCH($A40,'Préstamos'!$A$2:$A$101,0))-INDEX('Préstamos'!$J$2:$J$101,MATCH($A40,'Préstamos'!$A$2:$A$101,0))*(INDEX('Préstamos'!$G$2:$G$101,MATCH($A40,'Préstamos'!$A$2:$A$101,0))-1),INDEX('Préstamos'!$J$2:$J$101,MATCH($A40,'Préstamos'!$A$2:$A$101,0)))))</f>
        <v/>
      </c>
      <c r="G40" s="29">
        <f>IF($A40="","",IF(AND(D40&lt;&gt;"Solo interés",C40=INDEX('Préstamos'!$G$2:$G$101,MATCH($A40,'Préstamos'!$A$2:$A$101,0))),INDEX('Préstamos'!$I$2:$I$101,MATCH($A40,'Préstamos'!$A$2:$A$101,0))-INDEX('Préstamos'!$K$2:$K$101,MATCH($A40,'Préstamos'!$A$2:$A$101,0))*(INDEX('Préstamos'!$G$2:$G$101,MATCH($A40,'Préstamos'!$A$2:$A$101,0))-1),INDEX('Préstamos'!$K$2:$K$101,MATCH($A40,'Préstamos'!$A$2:$A$101,0))))</f>
        <v/>
      </c>
      <c r="H40" s="29">
        <f>IF($A40="","",F40+G40)</f>
        <v/>
      </c>
      <c r="I40" s="14" t="n"/>
      <c r="J40" s="33" t="n"/>
      <c r="K40" s="16">
        <f>IF(OR($A40="",I40="Pagado"),"",MAX(0,TODAY()-E40))</f>
        <v/>
      </c>
      <c r="L40" s="16">
        <f>IF($A40="","",IF(I40="Pagado","Pagado",IF(E40&lt;TODAY(),"Atrasado",IF(E40&lt;=EOMONTH(TODAY(),0),"Este mes","Pendiente"))))</f>
        <v/>
      </c>
      <c r="M40" s="20">
        <f>IF(OR($A40="",I40="Pagado"),"",HYPERLINK("https://wa.me/"&amp;IF(INDEX('Préstamos'!$C$2:$C$101,MATCH($A40,'Préstamos'!$A$2:$A$101,0))="","","51"&amp;SUBSTITUTE(INDEX('Préstamos'!$C$2:$C$101,MATCH($A40,'Préstamos'!$A$2:$A$101,0))," ",""))&amp;"?text="&amp;SUBSTITUTE("Hola "&amp;B40&amp;", te recuerdo que tu cuota de S/ "&amp;H40&amp;IF(E40&lt;TODAY()," vencio el "," vence el ")&amp;TEXT(E40,"dd/mm")&amp;". Gracias!"," ","%20"),"WhatsApp"))</f>
        <v/>
      </c>
    </row>
    <row r="41">
      <c r="A41" s="14" t="n"/>
      <c r="B41" s="16">
        <f>IF($A41="","",INDEX('Préstamos'!$B$2:$B$101,MATCH($A41,'Préstamos'!$A$2:$A$101,0)))</f>
        <v/>
      </c>
      <c r="C41" s="14" t="n"/>
      <c r="D41" s="14" t="n"/>
      <c r="E41" s="33" t="n"/>
      <c r="F41" s="29">
        <f>IF($A41="","",IF(D41="Solo interés",0,IF(AND(D41&lt;&gt;"Solo interés",C41=INDEX('Préstamos'!$G$2:$G$101,MATCH($A41,'Préstamos'!$A$2:$A$101,0))),INDEX('Préstamos'!$D$2:$D$101,MATCH($A41,'Préstamos'!$A$2:$A$101,0))-INDEX('Préstamos'!$J$2:$J$101,MATCH($A41,'Préstamos'!$A$2:$A$101,0))*(INDEX('Préstamos'!$G$2:$G$101,MATCH($A41,'Préstamos'!$A$2:$A$101,0))-1),INDEX('Préstamos'!$J$2:$J$101,MATCH($A41,'Préstamos'!$A$2:$A$101,0)))))</f>
        <v/>
      </c>
      <c r="G41" s="29">
        <f>IF($A41="","",IF(AND(D41&lt;&gt;"Solo interés",C41=INDEX('Préstamos'!$G$2:$G$101,MATCH($A41,'Préstamos'!$A$2:$A$101,0))),INDEX('Préstamos'!$I$2:$I$101,MATCH($A41,'Préstamos'!$A$2:$A$101,0))-INDEX('Préstamos'!$K$2:$K$101,MATCH($A41,'Préstamos'!$A$2:$A$101,0))*(INDEX('Préstamos'!$G$2:$G$101,MATCH($A41,'Préstamos'!$A$2:$A$101,0))-1),INDEX('Préstamos'!$K$2:$K$101,MATCH($A41,'Préstamos'!$A$2:$A$101,0))))</f>
        <v/>
      </c>
      <c r="H41" s="29">
        <f>IF($A41="","",F41+G41)</f>
        <v/>
      </c>
      <c r="I41" s="14" t="n"/>
      <c r="J41" s="33" t="n"/>
      <c r="K41" s="16">
        <f>IF(OR($A41="",I41="Pagado"),"",MAX(0,TODAY()-E41))</f>
        <v/>
      </c>
      <c r="L41" s="16">
        <f>IF($A41="","",IF(I41="Pagado","Pagado",IF(E41&lt;TODAY(),"Atrasado",IF(E41&lt;=EOMONTH(TODAY(),0),"Este mes","Pendiente"))))</f>
        <v/>
      </c>
      <c r="M41" s="20">
        <f>IF(OR($A41="",I41="Pagado"),"",HYPERLINK("https://wa.me/"&amp;IF(INDEX('Préstamos'!$C$2:$C$101,MATCH($A41,'Préstamos'!$A$2:$A$101,0))="","","51"&amp;SUBSTITUTE(INDEX('Préstamos'!$C$2:$C$101,MATCH($A41,'Préstamos'!$A$2:$A$101,0))," ",""))&amp;"?text="&amp;SUBSTITUTE("Hola "&amp;B41&amp;", te recuerdo que tu cuota de S/ "&amp;H41&amp;IF(E41&lt;TODAY()," vencio el "," vence el ")&amp;TEXT(E41,"dd/mm")&amp;". Gracias!"," ","%20"),"WhatsApp"))</f>
        <v/>
      </c>
    </row>
    <row r="42">
      <c r="A42" s="14" t="n"/>
      <c r="B42" s="16">
        <f>IF($A42="","",INDEX('Préstamos'!$B$2:$B$101,MATCH($A42,'Préstamos'!$A$2:$A$101,0)))</f>
        <v/>
      </c>
      <c r="C42" s="14" t="n"/>
      <c r="D42" s="14" t="n"/>
      <c r="E42" s="33" t="n"/>
      <c r="F42" s="29">
        <f>IF($A42="","",IF(D42="Solo interés",0,IF(AND(D42&lt;&gt;"Solo interés",C42=INDEX('Préstamos'!$G$2:$G$101,MATCH($A42,'Préstamos'!$A$2:$A$101,0))),INDEX('Préstamos'!$D$2:$D$101,MATCH($A42,'Préstamos'!$A$2:$A$101,0))-INDEX('Préstamos'!$J$2:$J$101,MATCH($A42,'Préstamos'!$A$2:$A$101,0))*(INDEX('Préstamos'!$G$2:$G$101,MATCH($A42,'Préstamos'!$A$2:$A$101,0))-1),INDEX('Préstamos'!$J$2:$J$101,MATCH($A42,'Préstamos'!$A$2:$A$101,0)))))</f>
        <v/>
      </c>
      <c r="G42" s="29">
        <f>IF($A42="","",IF(AND(D42&lt;&gt;"Solo interés",C42=INDEX('Préstamos'!$G$2:$G$101,MATCH($A42,'Préstamos'!$A$2:$A$101,0))),INDEX('Préstamos'!$I$2:$I$101,MATCH($A42,'Préstamos'!$A$2:$A$101,0))-INDEX('Préstamos'!$K$2:$K$101,MATCH($A42,'Préstamos'!$A$2:$A$101,0))*(INDEX('Préstamos'!$G$2:$G$101,MATCH($A42,'Préstamos'!$A$2:$A$101,0))-1),INDEX('Préstamos'!$K$2:$K$101,MATCH($A42,'Préstamos'!$A$2:$A$101,0))))</f>
        <v/>
      </c>
      <c r="H42" s="29">
        <f>IF($A42="","",F42+G42)</f>
        <v/>
      </c>
      <c r="I42" s="14" t="n"/>
      <c r="J42" s="33" t="n"/>
      <c r="K42" s="16">
        <f>IF(OR($A42="",I42="Pagado"),"",MAX(0,TODAY()-E42))</f>
        <v/>
      </c>
      <c r="L42" s="16">
        <f>IF($A42="","",IF(I42="Pagado","Pagado",IF(E42&lt;TODAY(),"Atrasado",IF(E42&lt;=EOMONTH(TODAY(),0),"Este mes","Pendiente"))))</f>
        <v/>
      </c>
      <c r="M42" s="20">
        <f>IF(OR($A42="",I42="Pagado"),"",HYPERLINK("https://wa.me/"&amp;IF(INDEX('Préstamos'!$C$2:$C$101,MATCH($A42,'Préstamos'!$A$2:$A$101,0))="","","51"&amp;SUBSTITUTE(INDEX('Préstamos'!$C$2:$C$101,MATCH($A42,'Préstamos'!$A$2:$A$101,0))," ",""))&amp;"?text="&amp;SUBSTITUTE("Hola "&amp;B42&amp;", te recuerdo que tu cuota de S/ "&amp;H42&amp;IF(E42&lt;TODAY()," vencio el "," vence el ")&amp;TEXT(E42,"dd/mm")&amp;". Gracias!"," ","%20"),"WhatsApp"))</f>
        <v/>
      </c>
    </row>
    <row r="43">
      <c r="A43" s="14" t="n"/>
      <c r="B43" s="16">
        <f>IF($A43="","",INDEX('Préstamos'!$B$2:$B$101,MATCH($A43,'Préstamos'!$A$2:$A$101,0)))</f>
        <v/>
      </c>
      <c r="C43" s="14" t="n"/>
      <c r="D43" s="14" t="n"/>
      <c r="E43" s="33" t="n"/>
      <c r="F43" s="29">
        <f>IF($A43="","",IF(D43="Solo interés",0,IF(AND(D43&lt;&gt;"Solo interés",C43=INDEX('Préstamos'!$G$2:$G$101,MATCH($A43,'Préstamos'!$A$2:$A$101,0))),INDEX('Préstamos'!$D$2:$D$101,MATCH($A43,'Préstamos'!$A$2:$A$101,0))-INDEX('Préstamos'!$J$2:$J$101,MATCH($A43,'Préstamos'!$A$2:$A$101,0))*(INDEX('Préstamos'!$G$2:$G$101,MATCH($A43,'Préstamos'!$A$2:$A$101,0))-1),INDEX('Préstamos'!$J$2:$J$101,MATCH($A43,'Préstamos'!$A$2:$A$101,0)))))</f>
        <v/>
      </c>
      <c r="G43" s="29">
        <f>IF($A43="","",IF(AND(D43&lt;&gt;"Solo interés",C43=INDEX('Préstamos'!$G$2:$G$101,MATCH($A43,'Préstamos'!$A$2:$A$101,0))),INDEX('Préstamos'!$I$2:$I$101,MATCH($A43,'Préstamos'!$A$2:$A$101,0))-INDEX('Préstamos'!$K$2:$K$101,MATCH($A43,'Préstamos'!$A$2:$A$101,0))*(INDEX('Préstamos'!$G$2:$G$101,MATCH($A43,'Préstamos'!$A$2:$A$101,0))-1),INDEX('Préstamos'!$K$2:$K$101,MATCH($A43,'Préstamos'!$A$2:$A$101,0))))</f>
        <v/>
      </c>
      <c r="H43" s="29">
        <f>IF($A43="","",F43+G43)</f>
        <v/>
      </c>
      <c r="I43" s="14" t="n"/>
      <c r="J43" s="33" t="n"/>
      <c r="K43" s="16">
        <f>IF(OR($A43="",I43="Pagado"),"",MAX(0,TODAY()-E43))</f>
        <v/>
      </c>
      <c r="L43" s="16">
        <f>IF($A43="","",IF(I43="Pagado","Pagado",IF(E43&lt;TODAY(),"Atrasado",IF(E43&lt;=EOMONTH(TODAY(),0),"Este mes","Pendiente"))))</f>
        <v/>
      </c>
      <c r="M43" s="20">
        <f>IF(OR($A43="",I43="Pagado"),"",HYPERLINK("https://wa.me/"&amp;IF(INDEX('Préstamos'!$C$2:$C$101,MATCH($A43,'Préstamos'!$A$2:$A$101,0))="","","51"&amp;SUBSTITUTE(INDEX('Préstamos'!$C$2:$C$101,MATCH($A43,'Préstamos'!$A$2:$A$101,0))," ",""))&amp;"?text="&amp;SUBSTITUTE("Hola "&amp;B43&amp;", te recuerdo que tu cuota de S/ "&amp;H43&amp;IF(E43&lt;TODAY()," vencio el "," vence el ")&amp;TEXT(E43,"dd/mm")&amp;". Gracias!"," ","%20"),"WhatsApp"))</f>
        <v/>
      </c>
    </row>
    <row r="44">
      <c r="A44" s="14" t="n"/>
      <c r="B44" s="16">
        <f>IF($A44="","",INDEX('Préstamos'!$B$2:$B$101,MATCH($A44,'Préstamos'!$A$2:$A$101,0)))</f>
        <v/>
      </c>
      <c r="C44" s="14" t="n"/>
      <c r="D44" s="14" t="n"/>
      <c r="E44" s="33" t="n"/>
      <c r="F44" s="29">
        <f>IF($A44="","",IF(D44="Solo interés",0,IF(AND(D44&lt;&gt;"Solo interés",C44=INDEX('Préstamos'!$G$2:$G$101,MATCH($A44,'Préstamos'!$A$2:$A$101,0))),INDEX('Préstamos'!$D$2:$D$101,MATCH($A44,'Préstamos'!$A$2:$A$101,0))-INDEX('Préstamos'!$J$2:$J$101,MATCH($A44,'Préstamos'!$A$2:$A$101,0))*(INDEX('Préstamos'!$G$2:$G$101,MATCH($A44,'Préstamos'!$A$2:$A$101,0))-1),INDEX('Préstamos'!$J$2:$J$101,MATCH($A44,'Préstamos'!$A$2:$A$101,0)))))</f>
        <v/>
      </c>
      <c r="G44" s="29">
        <f>IF($A44="","",IF(AND(D44&lt;&gt;"Solo interés",C44=INDEX('Préstamos'!$G$2:$G$101,MATCH($A44,'Préstamos'!$A$2:$A$101,0))),INDEX('Préstamos'!$I$2:$I$101,MATCH($A44,'Préstamos'!$A$2:$A$101,0))-INDEX('Préstamos'!$K$2:$K$101,MATCH($A44,'Préstamos'!$A$2:$A$101,0))*(INDEX('Préstamos'!$G$2:$G$101,MATCH($A44,'Préstamos'!$A$2:$A$101,0))-1),INDEX('Préstamos'!$K$2:$K$101,MATCH($A44,'Préstamos'!$A$2:$A$101,0))))</f>
        <v/>
      </c>
      <c r="H44" s="29">
        <f>IF($A44="","",F44+G44)</f>
        <v/>
      </c>
      <c r="I44" s="14" t="n"/>
      <c r="J44" s="33" t="n"/>
      <c r="K44" s="16">
        <f>IF(OR($A44="",I44="Pagado"),"",MAX(0,TODAY()-E44))</f>
        <v/>
      </c>
      <c r="L44" s="16">
        <f>IF($A44="","",IF(I44="Pagado","Pagado",IF(E44&lt;TODAY(),"Atrasado",IF(E44&lt;=EOMONTH(TODAY(),0),"Este mes","Pendiente"))))</f>
        <v/>
      </c>
      <c r="M44" s="20">
        <f>IF(OR($A44="",I44="Pagado"),"",HYPERLINK("https://wa.me/"&amp;IF(INDEX('Préstamos'!$C$2:$C$101,MATCH($A44,'Préstamos'!$A$2:$A$101,0))="","","51"&amp;SUBSTITUTE(INDEX('Préstamos'!$C$2:$C$101,MATCH($A44,'Préstamos'!$A$2:$A$101,0))," ",""))&amp;"?text="&amp;SUBSTITUTE("Hola "&amp;B44&amp;", te recuerdo que tu cuota de S/ "&amp;H44&amp;IF(E44&lt;TODAY()," vencio el "," vence el ")&amp;TEXT(E44,"dd/mm")&amp;". Gracias!"," ","%20"),"WhatsApp"))</f>
        <v/>
      </c>
    </row>
    <row r="45">
      <c r="A45" s="14" t="n"/>
      <c r="B45" s="16">
        <f>IF($A45="","",INDEX('Préstamos'!$B$2:$B$101,MATCH($A45,'Préstamos'!$A$2:$A$101,0)))</f>
        <v/>
      </c>
      <c r="C45" s="14" t="n"/>
      <c r="D45" s="14" t="n"/>
      <c r="E45" s="33" t="n"/>
      <c r="F45" s="29">
        <f>IF($A45="","",IF(D45="Solo interés",0,IF(AND(D45&lt;&gt;"Solo interés",C45=INDEX('Préstamos'!$G$2:$G$101,MATCH($A45,'Préstamos'!$A$2:$A$101,0))),INDEX('Préstamos'!$D$2:$D$101,MATCH($A45,'Préstamos'!$A$2:$A$101,0))-INDEX('Préstamos'!$J$2:$J$101,MATCH($A45,'Préstamos'!$A$2:$A$101,0))*(INDEX('Préstamos'!$G$2:$G$101,MATCH($A45,'Préstamos'!$A$2:$A$101,0))-1),INDEX('Préstamos'!$J$2:$J$101,MATCH($A45,'Préstamos'!$A$2:$A$101,0)))))</f>
        <v/>
      </c>
      <c r="G45" s="29">
        <f>IF($A45="","",IF(AND(D45&lt;&gt;"Solo interés",C45=INDEX('Préstamos'!$G$2:$G$101,MATCH($A45,'Préstamos'!$A$2:$A$101,0))),INDEX('Préstamos'!$I$2:$I$101,MATCH($A45,'Préstamos'!$A$2:$A$101,0))-INDEX('Préstamos'!$K$2:$K$101,MATCH($A45,'Préstamos'!$A$2:$A$101,0))*(INDEX('Préstamos'!$G$2:$G$101,MATCH($A45,'Préstamos'!$A$2:$A$101,0))-1),INDEX('Préstamos'!$K$2:$K$101,MATCH($A45,'Préstamos'!$A$2:$A$101,0))))</f>
        <v/>
      </c>
      <c r="H45" s="29">
        <f>IF($A45="","",F45+G45)</f>
        <v/>
      </c>
      <c r="I45" s="14" t="n"/>
      <c r="J45" s="33" t="n"/>
      <c r="K45" s="16">
        <f>IF(OR($A45="",I45="Pagado"),"",MAX(0,TODAY()-E45))</f>
        <v/>
      </c>
      <c r="L45" s="16">
        <f>IF($A45="","",IF(I45="Pagado","Pagado",IF(E45&lt;TODAY(),"Atrasado",IF(E45&lt;=EOMONTH(TODAY(),0),"Este mes","Pendiente"))))</f>
        <v/>
      </c>
      <c r="M45" s="20">
        <f>IF(OR($A45="",I45="Pagado"),"",HYPERLINK("https://wa.me/"&amp;IF(INDEX('Préstamos'!$C$2:$C$101,MATCH($A45,'Préstamos'!$A$2:$A$101,0))="","","51"&amp;SUBSTITUTE(INDEX('Préstamos'!$C$2:$C$101,MATCH($A45,'Préstamos'!$A$2:$A$101,0))," ",""))&amp;"?text="&amp;SUBSTITUTE("Hola "&amp;B45&amp;", te recuerdo que tu cuota de S/ "&amp;H45&amp;IF(E45&lt;TODAY()," vencio el "," vence el ")&amp;TEXT(E45,"dd/mm")&amp;". Gracias!"," ","%20"),"WhatsApp"))</f>
        <v/>
      </c>
    </row>
    <row r="46">
      <c r="A46" s="14" t="n"/>
      <c r="B46" s="16">
        <f>IF($A46="","",INDEX('Préstamos'!$B$2:$B$101,MATCH($A46,'Préstamos'!$A$2:$A$101,0)))</f>
        <v/>
      </c>
      <c r="C46" s="14" t="n"/>
      <c r="D46" s="14" t="n"/>
      <c r="E46" s="33" t="n"/>
      <c r="F46" s="29">
        <f>IF($A46="","",IF(D46="Solo interés",0,IF(AND(D46&lt;&gt;"Solo interés",C46=INDEX('Préstamos'!$G$2:$G$101,MATCH($A46,'Préstamos'!$A$2:$A$101,0))),INDEX('Préstamos'!$D$2:$D$101,MATCH($A46,'Préstamos'!$A$2:$A$101,0))-INDEX('Préstamos'!$J$2:$J$101,MATCH($A46,'Préstamos'!$A$2:$A$101,0))*(INDEX('Préstamos'!$G$2:$G$101,MATCH($A46,'Préstamos'!$A$2:$A$101,0))-1),INDEX('Préstamos'!$J$2:$J$101,MATCH($A46,'Préstamos'!$A$2:$A$101,0)))))</f>
        <v/>
      </c>
      <c r="G46" s="29">
        <f>IF($A46="","",IF(AND(D46&lt;&gt;"Solo interés",C46=INDEX('Préstamos'!$G$2:$G$101,MATCH($A46,'Préstamos'!$A$2:$A$101,0))),INDEX('Préstamos'!$I$2:$I$101,MATCH($A46,'Préstamos'!$A$2:$A$101,0))-INDEX('Préstamos'!$K$2:$K$101,MATCH($A46,'Préstamos'!$A$2:$A$101,0))*(INDEX('Préstamos'!$G$2:$G$101,MATCH($A46,'Préstamos'!$A$2:$A$101,0))-1),INDEX('Préstamos'!$K$2:$K$101,MATCH($A46,'Préstamos'!$A$2:$A$101,0))))</f>
        <v/>
      </c>
      <c r="H46" s="29">
        <f>IF($A46="","",F46+G46)</f>
        <v/>
      </c>
      <c r="I46" s="14" t="n"/>
      <c r="J46" s="33" t="n"/>
      <c r="K46" s="16">
        <f>IF(OR($A46="",I46="Pagado"),"",MAX(0,TODAY()-E46))</f>
        <v/>
      </c>
      <c r="L46" s="16">
        <f>IF($A46="","",IF(I46="Pagado","Pagado",IF(E46&lt;TODAY(),"Atrasado",IF(E46&lt;=EOMONTH(TODAY(),0),"Este mes","Pendiente"))))</f>
        <v/>
      </c>
      <c r="M46" s="20">
        <f>IF(OR($A46="",I46="Pagado"),"",HYPERLINK("https://wa.me/"&amp;IF(INDEX('Préstamos'!$C$2:$C$101,MATCH($A46,'Préstamos'!$A$2:$A$101,0))="","","51"&amp;SUBSTITUTE(INDEX('Préstamos'!$C$2:$C$101,MATCH($A46,'Préstamos'!$A$2:$A$101,0))," ",""))&amp;"?text="&amp;SUBSTITUTE("Hola "&amp;B46&amp;", te recuerdo que tu cuota de S/ "&amp;H46&amp;IF(E46&lt;TODAY()," vencio el "," vence el ")&amp;TEXT(E46,"dd/mm")&amp;". Gracias!"," ","%20"),"WhatsApp"))</f>
        <v/>
      </c>
    </row>
    <row r="47">
      <c r="A47" s="14" t="n"/>
      <c r="B47" s="16">
        <f>IF($A47="","",INDEX('Préstamos'!$B$2:$B$101,MATCH($A47,'Préstamos'!$A$2:$A$101,0)))</f>
        <v/>
      </c>
      <c r="C47" s="14" t="n"/>
      <c r="D47" s="14" t="n"/>
      <c r="E47" s="33" t="n"/>
      <c r="F47" s="29">
        <f>IF($A47="","",IF(D47="Solo interés",0,IF(AND(D47&lt;&gt;"Solo interés",C47=INDEX('Préstamos'!$G$2:$G$101,MATCH($A47,'Préstamos'!$A$2:$A$101,0))),INDEX('Préstamos'!$D$2:$D$101,MATCH($A47,'Préstamos'!$A$2:$A$101,0))-INDEX('Préstamos'!$J$2:$J$101,MATCH($A47,'Préstamos'!$A$2:$A$101,0))*(INDEX('Préstamos'!$G$2:$G$101,MATCH($A47,'Préstamos'!$A$2:$A$101,0))-1),INDEX('Préstamos'!$J$2:$J$101,MATCH($A47,'Préstamos'!$A$2:$A$101,0)))))</f>
        <v/>
      </c>
      <c r="G47" s="29">
        <f>IF($A47="","",IF(AND(D47&lt;&gt;"Solo interés",C47=INDEX('Préstamos'!$G$2:$G$101,MATCH($A47,'Préstamos'!$A$2:$A$101,0))),INDEX('Préstamos'!$I$2:$I$101,MATCH($A47,'Préstamos'!$A$2:$A$101,0))-INDEX('Préstamos'!$K$2:$K$101,MATCH($A47,'Préstamos'!$A$2:$A$101,0))*(INDEX('Préstamos'!$G$2:$G$101,MATCH($A47,'Préstamos'!$A$2:$A$101,0))-1),INDEX('Préstamos'!$K$2:$K$101,MATCH($A47,'Préstamos'!$A$2:$A$101,0))))</f>
        <v/>
      </c>
      <c r="H47" s="29">
        <f>IF($A47="","",F47+G47)</f>
        <v/>
      </c>
      <c r="I47" s="14" t="n"/>
      <c r="J47" s="33" t="n"/>
      <c r="K47" s="16">
        <f>IF(OR($A47="",I47="Pagado"),"",MAX(0,TODAY()-E47))</f>
        <v/>
      </c>
      <c r="L47" s="16">
        <f>IF($A47="","",IF(I47="Pagado","Pagado",IF(E47&lt;TODAY(),"Atrasado",IF(E47&lt;=EOMONTH(TODAY(),0),"Este mes","Pendiente"))))</f>
        <v/>
      </c>
      <c r="M47" s="20">
        <f>IF(OR($A47="",I47="Pagado"),"",HYPERLINK("https://wa.me/"&amp;IF(INDEX('Préstamos'!$C$2:$C$101,MATCH($A47,'Préstamos'!$A$2:$A$101,0))="","","51"&amp;SUBSTITUTE(INDEX('Préstamos'!$C$2:$C$101,MATCH($A47,'Préstamos'!$A$2:$A$101,0))," ",""))&amp;"?text="&amp;SUBSTITUTE("Hola "&amp;B47&amp;", te recuerdo que tu cuota de S/ "&amp;H47&amp;IF(E47&lt;TODAY()," vencio el "," vence el ")&amp;TEXT(E47,"dd/mm")&amp;". Gracias!"," ","%20"),"WhatsApp"))</f>
        <v/>
      </c>
    </row>
    <row r="48">
      <c r="A48" s="14" t="n"/>
      <c r="B48" s="16">
        <f>IF($A48="","",INDEX('Préstamos'!$B$2:$B$101,MATCH($A48,'Préstamos'!$A$2:$A$101,0)))</f>
        <v/>
      </c>
      <c r="C48" s="14" t="n"/>
      <c r="D48" s="14" t="n"/>
      <c r="E48" s="33" t="n"/>
      <c r="F48" s="29">
        <f>IF($A48="","",IF(D48="Solo interés",0,IF(AND(D48&lt;&gt;"Solo interés",C48=INDEX('Préstamos'!$G$2:$G$101,MATCH($A48,'Préstamos'!$A$2:$A$101,0))),INDEX('Préstamos'!$D$2:$D$101,MATCH($A48,'Préstamos'!$A$2:$A$101,0))-INDEX('Préstamos'!$J$2:$J$101,MATCH($A48,'Préstamos'!$A$2:$A$101,0))*(INDEX('Préstamos'!$G$2:$G$101,MATCH($A48,'Préstamos'!$A$2:$A$101,0))-1),INDEX('Préstamos'!$J$2:$J$101,MATCH($A48,'Préstamos'!$A$2:$A$101,0)))))</f>
        <v/>
      </c>
      <c r="G48" s="29">
        <f>IF($A48="","",IF(AND(D48&lt;&gt;"Solo interés",C48=INDEX('Préstamos'!$G$2:$G$101,MATCH($A48,'Préstamos'!$A$2:$A$101,0))),INDEX('Préstamos'!$I$2:$I$101,MATCH($A48,'Préstamos'!$A$2:$A$101,0))-INDEX('Préstamos'!$K$2:$K$101,MATCH($A48,'Préstamos'!$A$2:$A$101,0))*(INDEX('Préstamos'!$G$2:$G$101,MATCH($A48,'Préstamos'!$A$2:$A$101,0))-1),INDEX('Préstamos'!$K$2:$K$101,MATCH($A48,'Préstamos'!$A$2:$A$101,0))))</f>
        <v/>
      </c>
      <c r="H48" s="29">
        <f>IF($A48="","",F48+G48)</f>
        <v/>
      </c>
      <c r="I48" s="14" t="n"/>
      <c r="J48" s="33" t="n"/>
      <c r="K48" s="16">
        <f>IF(OR($A48="",I48="Pagado"),"",MAX(0,TODAY()-E48))</f>
        <v/>
      </c>
      <c r="L48" s="16">
        <f>IF($A48="","",IF(I48="Pagado","Pagado",IF(E48&lt;TODAY(),"Atrasado",IF(E48&lt;=EOMONTH(TODAY(),0),"Este mes","Pendiente"))))</f>
        <v/>
      </c>
      <c r="M48" s="20">
        <f>IF(OR($A48="",I48="Pagado"),"",HYPERLINK("https://wa.me/"&amp;IF(INDEX('Préstamos'!$C$2:$C$101,MATCH($A48,'Préstamos'!$A$2:$A$101,0))="","","51"&amp;SUBSTITUTE(INDEX('Préstamos'!$C$2:$C$101,MATCH($A48,'Préstamos'!$A$2:$A$101,0))," ",""))&amp;"?text="&amp;SUBSTITUTE("Hola "&amp;B48&amp;", te recuerdo que tu cuota de S/ "&amp;H48&amp;IF(E48&lt;TODAY()," vencio el "," vence el ")&amp;TEXT(E48,"dd/mm")&amp;". Gracias!"," ","%20"),"WhatsApp"))</f>
        <v/>
      </c>
    </row>
    <row r="49">
      <c r="A49" s="14" t="n"/>
      <c r="B49" s="16">
        <f>IF($A49="","",INDEX('Préstamos'!$B$2:$B$101,MATCH($A49,'Préstamos'!$A$2:$A$101,0)))</f>
        <v/>
      </c>
      <c r="C49" s="14" t="n"/>
      <c r="D49" s="14" t="n"/>
      <c r="E49" s="33" t="n"/>
      <c r="F49" s="29">
        <f>IF($A49="","",IF(D49="Solo interés",0,IF(AND(D49&lt;&gt;"Solo interés",C49=INDEX('Préstamos'!$G$2:$G$101,MATCH($A49,'Préstamos'!$A$2:$A$101,0))),INDEX('Préstamos'!$D$2:$D$101,MATCH($A49,'Préstamos'!$A$2:$A$101,0))-INDEX('Préstamos'!$J$2:$J$101,MATCH($A49,'Préstamos'!$A$2:$A$101,0))*(INDEX('Préstamos'!$G$2:$G$101,MATCH($A49,'Préstamos'!$A$2:$A$101,0))-1),INDEX('Préstamos'!$J$2:$J$101,MATCH($A49,'Préstamos'!$A$2:$A$101,0)))))</f>
        <v/>
      </c>
      <c r="G49" s="29">
        <f>IF($A49="","",IF(AND(D49&lt;&gt;"Solo interés",C49=INDEX('Préstamos'!$G$2:$G$101,MATCH($A49,'Préstamos'!$A$2:$A$101,0))),INDEX('Préstamos'!$I$2:$I$101,MATCH($A49,'Préstamos'!$A$2:$A$101,0))-INDEX('Préstamos'!$K$2:$K$101,MATCH($A49,'Préstamos'!$A$2:$A$101,0))*(INDEX('Préstamos'!$G$2:$G$101,MATCH($A49,'Préstamos'!$A$2:$A$101,0))-1),INDEX('Préstamos'!$K$2:$K$101,MATCH($A49,'Préstamos'!$A$2:$A$101,0))))</f>
        <v/>
      </c>
      <c r="H49" s="29">
        <f>IF($A49="","",F49+G49)</f>
        <v/>
      </c>
      <c r="I49" s="14" t="n"/>
      <c r="J49" s="33" t="n"/>
      <c r="K49" s="16">
        <f>IF(OR($A49="",I49="Pagado"),"",MAX(0,TODAY()-E49))</f>
        <v/>
      </c>
      <c r="L49" s="16">
        <f>IF($A49="","",IF(I49="Pagado","Pagado",IF(E49&lt;TODAY(),"Atrasado",IF(E49&lt;=EOMONTH(TODAY(),0),"Este mes","Pendiente"))))</f>
        <v/>
      </c>
      <c r="M49" s="20">
        <f>IF(OR($A49="",I49="Pagado"),"",HYPERLINK("https://wa.me/"&amp;IF(INDEX('Préstamos'!$C$2:$C$101,MATCH($A49,'Préstamos'!$A$2:$A$101,0))="","","51"&amp;SUBSTITUTE(INDEX('Préstamos'!$C$2:$C$101,MATCH($A49,'Préstamos'!$A$2:$A$101,0))," ",""))&amp;"?text="&amp;SUBSTITUTE("Hola "&amp;B49&amp;", te recuerdo que tu cuota de S/ "&amp;H49&amp;IF(E49&lt;TODAY()," vencio el "," vence el ")&amp;TEXT(E49,"dd/mm")&amp;". Gracias!"," ","%20"),"WhatsApp"))</f>
        <v/>
      </c>
    </row>
    <row r="50">
      <c r="A50" s="14" t="n"/>
      <c r="B50" s="16">
        <f>IF($A50="","",INDEX('Préstamos'!$B$2:$B$101,MATCH($A50,'Préstamos'!$A$2:$A$101,0)))</f>
        <v/>
      </c>
      <c r="C50" s="14" t="n"/>
      <c r="D50" s="14" t="n"/>
      <c r="E50" s="33" t="n"/>
      <c r="F50" s="29">
        <f>IF($A50="","",IF(D50="Solo interés",0,IF(AND(D50&lt;&gt;"Solo interés",C50=INDEX('Préstamos'!$G$2:$G$101,MATCH($A50,'Préstamos'!$A$2:$A$101,0))),INDEX('Préstamos'!$D$2:$D$101,MATCH($A50,'Préstamos'!$A$2:$A$101,0))-INDEX('Préstamos'!$J$2:$J$101,MATCH($A50,'Préstamos'!$A$2:$A$101,0))*(INDEX('Préstamos'!$G$2:$G$101,MATCH($A50,'Préstamos'!$A$2:$A$101,0))-1),INDEX('Préstamos'!$J$2:$J$101,MATCH($A50,'Préstamos'!$A$2:$A$101,0)))))</f>
        <v/>
      </c>
      <c r="G50" s="29">
        <f>IF($A50="","",IF(AND(D50&lt;&gt;"Solo interés",C50=INDEX('Préstamos'!$G$2:$G$101,MATCH($A50,'Préstamos'!$A$2:$A$101,0))),INDEX('Préstamos'!$I$2:$I$101,MATCH($A50,'Préstamos'!$A$2:$A$101,0))-INDEX('Préstamos'!$K$2:$K$101,MATCH($A50,'Préstamos'!$A$2:$A$101,0))*(INDEX('Préstamos'!$G$2:$G$101,MATCH($A50,'Préstamos'!$A$2:$A$101,0))-1),INDEX('Préstamos'!$K$2:$K$101,MATCH($A50,'Préstamos'!$A$2:$A$101,0))))</f>
        <v/>
      </c>
      <c r="H50" s="29">
        <f>IF($A50="","",F50+G50)</f>
        <v/>
      </c>
      <c r="I50" s="14" t="n"/>
      <c r="J50" s="33" t="n"/>
      <c r="K50" s="16">
        <f>IF(OR($A50="",I50="Pagado"),"",MAX(0,TODAY()-E50))</f>
        <v/>
      </c>
      <c r="L50" s="16">
        <f>IF($A50="","",IF(I50="Pagado","Pagado",IF(E50&lt;TODAY(),"Atrasado",IF(E50&lt;=EOMONTH(TODAY(),0),"Este mes","Pendiente"))))</f>
        <v/>
      </c>
      <c r="M50" s="20">
        <f>IF(OR($A50="",I50="Pagado"),"",HYPERLINK("https://wa.me/"&amp;IF(INDEX('Préstamos'!$C$2:$C$101,MATCH($A50,'Préstamos'!$A$2:$A$101,0))="","","51"&amp;SUBSTITUTE(INDEX('Préstamos'!$C$2:$C$101,MATCH($A50,'Préstamos'!$A$2:$A$101,0))," ",""))&amp;"?text="&amp;SUBSTITUTE("Hola "&amp;B50&amp;", te recuerdo que tu cuota de S/ "&amp;H50&amp;IF(E50&lt;TODAY()," vencio el "," vence el ")&amp;TEXT(E50,"dd/mm")&amp;". Gracias!"," ","%20"),"WhatsApp"))</f>
        <v/>
      </c>
    </row>
    <row r="51">
      <c r="A51" s="14" t="n"/>
      <c r="B51" s="16">
        <f>IF($A51="","",INDEX('Préstamos'!$B$2:$B$101,MATCH($A51,'Préstamos'!$A$2:$A$101,0)))</f>
        <v/>
      </c>
      <c r="C51" s="14" t="n"/>
      <c r="D51" s="14" t="n"/>
      <c r="E51" s="33" t="n"/>
      <c r="F51" s="29">
        <f>IF($A51="","",IF(D51="Solo interés",0,IF(AND(D51&lt;&gt;"Solo interés",C51=INDEX('Préstamos'!$G$2:$G$101,MATCH($A51,'Préstamos'!$A$2:$A$101,0))),INDEX('Préstamos'!$D$2:$D$101,MATCH($A51,'Préstamos'!$A$2:$A$101,0))-INDEX('Préstamos'!$J$2:$J$101,MATCH($A51,'Préstamos'!$A$2:$A$101,0))*(INDEX('Préstamos'!$G$2:$G$101,MATCH($A51,'Préstamos'!$A$2:$A$101,0))-1),INDEX('Préstamos'!$J$2:$J$101,MATCH($A51,'Préstamos'!$A$2:$A$101,0)))))</f>
        <v/>
      </c>
      <c r="G51" s="29">
        <f>IF($A51="","",IF(AND(D51&lt;&gt;"Solo interés",C51=INDEX('Préstamos'!$G$2:$G$101,MATCH($A51,'Préstamos'!$A$2:$A$101,0))),INDEX('Préstamos'!$I$2:$I$101,MATCH($A51,'Préstamos'!$A$2:$A$101,0))-INDEX('Préstamos'!$K$2:$K$101,MATCH($A51,'Préstamos'!$A$2:$A$101,0))*(INDEX('Préstamos'!$G$2:$G$101,MATCH($A51,'Préstamos'!$A$2:$A$101,0))-1),INDEX('Préstamos'!$K$2:$K$101,MATCH($A51,'Préstamos'!$A$2:$A$101,0))))</f>
        <v/>
      </c>
      <c r="H51" s="29">
        <f>IF($A51="","",F51+G51)</f>
        <v/>
      </c>
      <c r="I51" s="14" t="n"/>
      <c r="J51" s="33" t="n"/>
      <c r="K51" s="16">
        <f>IF(OR($A51="",I51="Pagado"),"",MAX(0,TODAY()-E51))</f>
        <v/>
      </c>
      <c r="L51" s="16">
        <f>IF($A51="","",IF(I51="Pagado","Pagado",IF(E51&lt;TODAY(),"Atrasado",IF(E51&lt;=EOMONTH(TODAY(),0),"Este mes","Pendiente"))))</f>
        <v/>
      </c>
      <c r="M51" s="20">
        <f>IF(OR($A51="",I51="Pagado"),"",HYPERLINK("https://wa.me/"&amp;IF(INDEX('Préstamos'!$C$2:$C$101,MATCH($A51,'Préstamos'!$A$2:$A$101,0))="","","51"&amp;SUBSTITUTE(INDEX('Préstamos'!$C$2:$C$101,MATCH($A51,'Préstamos'!$A$2:$A$101,0))," ",""))&amp;"?text="&amp;SUBSTITUTE("Hola "&amp;B51&amp;", te recuerdo que tu cuota de S/ "&amp;H51&amp;IF(E51&lt;TODAY()," vencio el "," vence el ")&amp;TEXT(E51,"dd/mm")&amp;". Gracias!"," ","%20"),"WhatsApp"))</f>
        <v/>
      </c>
    </row>
    <row r="52">
      <c r="A52" s="14" t="n"/>
      <c r="B52" s="16">
        <f>IF($A52="","",INDEX('Préstamos'!$B$2:$B$101,MATCH($A52,'Préstamos'!$A$2:$A$101,0)))</f>
        <v/>
      </c>
      <c r="C52" s="14" t="n"/>
      <c r="D52" s="14" t="n"/>
      <c r="E52" s="33" t="n"/>
      <c r="F52" s="29">
        <f>IF($A52="","",IF(D52="Solo interés",0,IF(AND(D52&lt;&gt;"Solo interés",C52=INDEX('Préstamos'!$G$2:$G$101,MATCH($A52,'Préstamos'!$A$2:$A$101,0))),INDEX('Préstamos'!$D$2:$D$101,MATCH($A52,'Préstamos'!$A$2:$A$101,0))-INDEX('Préstamos'!$J$2:$J$101,MATCH($A52,'Préstamos'!$A$2:$A$101,0))*(INDEX('Préstamos'!$G$2:$G$101,MATCH($A52,'Préstamos'!$A$2:$A$101,0))-1),INDEX('Préstamos'!$J$2:$J$101,MATCH($A52,'Préstamos'!$A$2:$A$101,0)))))</f>
        <v/>
      </c>
      <c r="G52" s="29">
        <f>IF($A52="","",IF(AND(D52&lt;&gt;"Solo interés",C52=INDEX('Préstamos'!$G$2:$G$101,MATCH($A52,'Préstamos'!$A$2:$A$101,0))),INDEX('Préstamos'!$I$2:$I$101,MATCH($A52,'Préstamos'!$A$2:$A$101,0))-INDEX('Préstamos'!$K$2:$K$101,MATCH($A52,'Préstamos'!$A$2:$A$101,0))*(INDEX('Préstamos'!$G$2:$G$101,MATCH($A52,'Préstamos'!$A$2:$A$101,0))-1),INDEX('Préstamos'!$K$2:$K$101,MATCH($A52,'Préstamos'!$A$2:$A$101,0))))</f>
        <v/>
      </c>
      <c r="H52" s="29">
        <f>IF($A52="","",F52+G52)</f>
        <v/>
      </c>
      <c r="I52" s="14" t="n"/>
      <c r="J52" s="33" t="n"/>
      <c r="K52" s="16">
        <f>IF(OR($A52="",I52="Pagado"),"",MAX(0,TODAY()-E52))</f>
        <v/>
      </c>
      <c r="L52" s="16">
        <f>IF($A52="","",IF(I52="Pagado","Pagado",IF(E52&lt;TODAY(),"Atrasado",IF(E52&lt;=EOMONTH(TODAY(),0),"Este mes","Pendiente"))))</f>
        <v/>
      </c>
      <c r="M52" s="20">
        <f>IF(OR($A52="",I52="Pagado"),"",HYPERLINK("https://wa.me/"&amp;IF(INDEX('Préstamos'!$C$2:$C$101,MATCH($A52,'Préstamos'!$A$2:$A$101,0))="","","51"&amp;SUBSTITUTE(INDEX('Préstamos'!$C$2:$C$101,MATCH($A52,'Préstamos'!$A$2:$A$101,0))," ",""))&amp;"?text="&amp;SUBSTITUTE("Hola "&amp;B52&amp;", te recuerdo que tu cuota de S/ "&amp;H52&amp;IF(E52&lt;TODAY()," vencio el "," vence el ")&amp;TEXT(E52,"dd/mm")&amp;". Gracias!"," ","%20"),"WhatsApp"))</f>
        <v/>
      </c>
    </row>
    <row r="53">
      <c r="A53" s="14" t="n"/>
      <c r="B53" s="16">
        <f>IF($A53="","",INDEX('Préstamos'!$B$2:$B$101,MATCH($A53,'Préstamos'!$A$2:$A$101,0)))</f>
        <v/>
      </c>
      <c r="C53" s="14" t="n"/>
      <c r="D53" s="14" t="n"/>
      <c r="E53" s="33" t="n"/>
      <c r="F53" s="29">
        <f>IF($A53="","",IF(D53="Solo interés",0,IF(AND(D53&lt;&gt;"Solo interés",C53=INDEX('Préstamos'!$G$2:$G$101,MATCH($A53,'Préstamos'!$A$2:$A$101,0))),INDEX('Préstamos'!$D$2:$D$101,MATCH($A53,'Préstamos'!$A$2:$A$101,0))-INDEX('Préstamos'!$J$2:$J$101,MATCH($A53,'Préstamos'!$A$2:$A$101,0))*(INDEX('Préstamos'!$G$2:$G$101,MATCH($A53,'Préstamos'!$A$2:$A$101,0))-1),INDEX('Préstamos'!$J$2:$J$101,MATCH($A53,'Préstamos'!$A$2:$A$101,0)))))</f>
        <v/>
      </c>
      <c r="G53" s="29">
        <f>IF($A53="","",IF(AND(D53&lt;&gt;"Solo interés",C53=INDEX('Préstamos'!$G$2:$G$101,MATCH($A53,'Préstamos'!$A$2:$A$101,0))),INDEX('Préstamos'!$I$2:$I$101,MATCH($A53,'Préstamos'!$A$2:$A$101,0))-INDEX('Préstamos'!$K$2:$K$101,MATCH($A53,'Préstamos'!$A$2:$A$101,0))*(INDEX('Préstamos'!$G$2:$G$101,MATCH($A53,'Préstamos'!$A$2:$A$101,0))-1),INDEX('Préstamos'!$K$2:$K$101,MATCH($A53,'Préstamos'!$A$2:$A$101,0))))</f>
        <v/>
      </c>
      <c r="H53" s="29">
        <f>IF($A53="","",F53+G53)</f>
        <v/>
      </c>
      <c r="I53" s="14" t="n"/>
      <c r="J53" s="33" t="n"/>
      <c r="K53" s="16">
        <f>IF(OR($A53="",I53="Pagado"),"",MAX(0,TODAY()-E53))</f>
        <v/>
      </c>
      <c r="L53" s="16">
        <f>IF($A53="","",IF(I53="Pagado","Pagado",IF(E53&lt;TODAY(),"Atrasado",IF(E53&lt;=EOMONTH(TODAY(),0),"Este mes","Pendiente"))))</f>
        <v/>
      </c>
      <c r="M53" s="20">
        <f>IF(OR($A53="",I53="Pagado"),"",HYPERLINK("https://wa.me/"&amp;IF(INDEX('Préstamos'!$C$2:$C$101,MATCH($A53,'Préstamos'!$A$2:$A$101,0))="","","51"&amp;SUBSTITUTE(INDEX('Préstamos'!$C$2:$C$101,MATCH($A53,'Préstamos'!$A$2:$A$101,0))," ",""))&amp;"?text="&amp;SUBSTITUTE("Hola "&amp;B53&amp;", te recuerdo que tu cuota de S/ "&amp;H53&amp;IF(E53&lt;TODAY()," vencio el "," vence el ")&amp;TEXT(E53,"dd/mm")&amp;". Gracias!"," ","%20"),"WhatsApp"))</f>
        <v/>
      </c>
    </row>
    <row r="54">
      <c r="A54" s="14" t="n"/>
      <c r="B54" s="16">
        <f>IF($A54="","",INDEX('Préstamos'!$B$2:$B$101,MATCH($A54,'Préstamos'!$A$2:$A$101,0)))</f>
        <v/>
      </c>
      <c r="C54" s="14" t="n"/>
      <c r="D54" s="14" t="n"/>
      <c r="E54" s="33" t="n"/>
      <c r="F54" s="29">
        <f>IF($A54="","",IF(D54="Solo interés",0,IF(AND(D54&lt;&gt;"Solo interés",C54=INDEX('Préstamos'!$G$2:$G$101,MATCH($A54,'Préstamos'!$A$2:$A$101,0))),INDEX('Préstamos'!$D$2:$D$101,MATCH($A54,'Préstamos'!$A$2:$A$101,0))-INDEX('Préstamos'!$J$2:$J$101,MATCH($A54,'Préstamos'!$A$2:$A$101,0))*(INDEX('Préstamos'!$G$2:$G$101,MATCH($A54,'Préstamos'!$A$2:$A$101,0))-1),INDEX('Préstamos'!$J$2:$J$101,MATCH($A54,'Préstamos'!$A$2:$A$101,0)))))</f>
        <v/>
      </c>
      <c r="G54" s="29">
        <f>IF($A54="","",IF(AND(D54&lt;&gt;"Solo interés",C54=INDEX('Préstamos'!$G$2:$G$101,MATCH($A54,'Préstamos'!$A$2:$A$101,0))),INDEX('Préstamos'!$I$2:$I$101,MATCH($A54,'Préstamos'!$A$2:$A$101,0))-INDEX('Préstamos'!$K$2:$K$101,MATCH($A54,'Préstamos'!$A$2:$A$101,0))*(INDEX('Préstamos'!$G$2:$G$101,MATCH($A54,'Préstamos'!$A$2:$A$101,0))-1),INDEX('Préstamos'!$K$2:$K$101,MATCH($A54,'Préstamos'!$A$2:$A$101,0))))</f>
        <v/>
      </c>
      <c r="H54" s="29">
        <f>IF($A54="","",F54+G54)</f>
        <v/>
      </c>
      <c r="I54" s="14" t="n"/>
      <c r="J54" s="33" t="n"/>
      <c r="K54" s="16">
        <f>IF(OR($A54="",I54="Pagado"),"",MAX(0,TODAY()-E54))</f>
        <v/>
      </c>
      <c r="L54" s="16">
        <f>IF($A54="","",IF(I54="Pagado","Pagado",IF(E54&lt;TODAY(),"Atrasado",IF(E54&lt;=EOMONTH(TODAY(),0),"Este mes","Pendiente"))))</f>
        <v/>
      </c>
      <c r="M54" s="20">
        <f>IF(OR($A54="",I54="Pagado"),"",HYPERLINK("https://wa.me/"&amp;IF(INDEX('Préstamos'!$C$2:$C$101,MATCH($A54,'Préstamos'!$A$2:$A$101,0))="","","51"&amp;SUBSTITUTE(INDEX('Préstamos'!$C$2:$C$101,MATCH($A54,'Préstamos'!$A$2:$A$101,0))," ",""))&amp;"?text="&amp;SUBSTITUTE("Hola "&amp;B54&amp;", te recuerdo que tu cuota de S/ "&amp;H54&amp;IF(E54&lt;TODAY()," vencio el "," vence el ")&amp;TEXT(E54,"dd/mm")&amp;". Gracias!"," ","%20"),"WhatsApp"))</f>
        <v/>
      </c>
    </row>
    <row r="55">
      <c r="A55" s="14" t="n"/>
      <c r="B55" s="16">
        <f>IF($A55="","",INDEX('Préstamos'!$B$2:$B$101,MATCH($A55,'Préstamos'!$A$2:$A$101,0)))</f>
        <v/>
      </c>
      <c r="C55" s="14" t="n"/>
      <c r="D55" s="14" t="n"/>
      <c r="E55" s="33" t="n"/>
      <c r="F55" s="29">
        <f>IF($A55="","",IF(D55="Solo interés",0,IF(AND(D55&lt;&gt;"Solo interés",C55=INDEX('Préstamos'!$G$2:$G$101,MATCH($A55,'Préstamos'!$A$2:$A$101,0))),INDEX('Préstamos'!$D$2:$D$101,MATCH($A55,'Préstamos'!$A$2:$A$101,0))-INDEX('Préstamos'!$J$2:$J$101,MATCH($A55,'Préstamos'!$A$2:$A$101,0))*(INDEX('Préstamos'!$G$2:$G$101,MATCH($A55,'Préstamos'!$A$2:$A$101,0))-1),INDEX('Préstamos'!$J$2:$J$101,MATCH($A55,'Préstamos'!$A$2:$A$101,0)))))</f>
        <v/>
      </c>
      <c r="G55" s="29">
        <f>IF($A55="","",IF(AND(D55&lt;&gt;"Solo interés",C55=INDEX('Préstamos'!$G$2:$G$101,MATCH($A55,'Préstamos'!$A$2:$A$101,0))),INDEX('Préstamos'!$I$2:$I$101,MATCH($A55,'Préstamos'!$A$2:$A$101,0))-INDEX('Préstamos'!$K$2:$K$101,MATCH($A55,'Préstamos'!$A$2:$A$101,0))*(INDEX('Préstamos'!$G$2:$G$101,MATCH($A55,'Préstamos'!$A$2:$A$101,0))-1),INDEX('Préstamos'!$K$2:$K$101,MATCH($A55,'Préstamos'!$A$2:$A$101,0))))</f>
        <v/>
      </c>
      <c r="H55" s="29">
        <f>IF($A55="","",F55+G55)</f>
        <v/>
      </c>
      <c r="I55" s="14" t="n"/>
      <c r="J55" s="33" t="n"/>
      <c r="K55" s="16">
        <f>IF(OR($A55="",I55="Pagado"),"",MAX(0,TODAY()-E55))</f>
        <v/>
      </c>
      <c r="L55" s="16">
        <f>IF($A55="","",IF(I55="Pagado","Pagado",IF(E55&lt;TODAY(),"Atrasado",IF(E55&lt;=EOMONTH(TODAY(),0),"Este mes","Pendiente"))))</f>
        <v/>
      </c>
      <c r="M55" s="20">
        <f>IF(OR($A55="",I55="Pagado"),"",HYPERLINK("https://wa.me/"&amp;IF(INDEX('Préstamos'!$C$2:$C$101,MATCH($A55,'Préstamos'!$A$2:$A$101,0))="","","51"&amp;SUBSTITUTE(INDEX('Préstamos'!$C$2:$C$101,MATCH($A55,'Préstamos'!$A$2:$A$101,0))," ",""))&amp;"?text="&amp;SUBSTITUTE("Hola "&amp;B55&amp;", te recuerdo que tu cuota de S/ "&amp;H55&amp;IF(E55&lt;TODAY()," vencio el "," vence el ")&amp;TEXT(E55,"dd/mm")&amp;". Gracias!"," ","%20"),"WhatsApp"))</f>
        <v/>
      </c>
    </row>
    <row r="56">
      <c r="A56" s="14" t="n"/>
      <c r="B56" s="16">
        <f>IF($A56="","",INDEX('Préstamos'!$B$2:$B$101,MATCH($A56,'Préstamos'!$A$2:$A$101,0)))</f>
        <v/>
      </c>
      <c r="C56" s="14" t="n"/>
      <c r="D56" s="14" t="n"/>
      <c r="E56" s="33" t="n"/>
      <c r="F56" s="29">
        <f>IF($A56="","",IF(D56="Solo interés",0,IF(AND(D56&lt;&gt;"Solo interés",C56=INDEX('Préstamos'!$G$2:$G$101,MATCH($A56,'Préstamos'!$A$2:$A$101,0))),INDEX('Préstamos'!$D$2:$D$101,MATCH($A56,'Préstamos'!$A$2:$A$101,0))-INDEX('Préstamos'!$J$2:$J$101,MATCH($A56,'Préstamos'!$A$2:$A$101,0))*(INDEX('Préstamos'!$G$2:$G$101,MATCH($A56,'Préstamos'!$A$2:$A$101,0))-1),INDEX('Préstamos'!$J$2:$J$101,MATCH($A56,'Préstamos'!$A$2:$A$101,0)))))</f>
        <v/>
      </c>
      <c r="G56" s="29">
        <f>IF($A56="","",IF(AND(D56&lt;&gt;"Solo interés",C56=INDEX('Préstamos'!$G$2:$G$101,MATCH($A56,'Préstamos'!$A$2:$A$101,0))),INDEX('Préstamos'!$I$2:$I$101,MATCH($A56,'Préstamos'!$A$2:$A$101,0))-INDEX('Préstamos'!$K$2:$K$101,MATCH($A56,'Préstamos'!$A$2:$A$101,0))*(INDEX('Préstamos'!$G$2:$G$101,MATCH($A56,'Préstamos'!$A$2:$A$101,0))-1),INDEX('Préstamos'!$K$2:$K$101,MATCH($A56,'Préstamos'!$A$2:$A$101,0))))</f>
        <v/>
      </c>
      <c r="H56" s="29">
        <f>IF($A56="","",F56+G56)</f>
        <v/>
      </c>
      <c r="I56" s="14" t="n"/>
      <c r="J56" s="33" t="n"/>
      <c r="K56" s="16">
        <f>IF(OR($A56="",I56="Pagado"),"",MAX(0,TODAY()-E56))</f>
        <v/>
      </c>
      <c r="L56" s="16">
        <f>IF($A56="","",IF(I56="Pagado","Pagado",IF(E56&lt;TODAY(),"Atrasado",IF(E56&lt;=EOMONTH(TODAY(),0),"Este mes","Pendiente"))))</f>
        <v/>
      </c>
      <c r="M56" s="20">
        <f>IF(OR($A56="",I56="Pagado"),"",HYPERLINK("https://wa.me/"&amp;IF(INDEX('Préstamos'!$C$2:$C$101,MATCH($A56,'Préstamos'!$A$2:$A$101,0))="","","51"&amp;SUBSTITUTE(INDEX('Préstamos'!$C$2:$C$101,MATCH($A56,'Préstamos'!$A$2:$A$101,0))," ",""))&amp;"?text="&amp;SUBSTITUTE("Hola "&amp;B56&amp;", te recuerdo que tu cuota de S/ "&amp;H56&amp;IF(E56&lt;TODAY()," vencio el "," vence el ")&amp;TEXT(E56,"dd/mm")&amp;". Gracias!"," ","%20"),"WhatsApp"))</f>
        <v/>
      </c>
    </row>
    <row r="57">
      <c r="A57" s="14" t="n"/>
      <c r="B57" s="16">
        <f>IF($A57="","",INDEX('Préstamos'!$B$2:$B$101,MATCH($A57,'Préstamos'!$A$2:$A$101,0)))</f>
        <v/>
      </c>
      <c r="C57" s="14" t="n"/>
      <c r="D57" s="14" t="n"/>
      <c r="E57" s="33" t="n"/>
      <c r="F57" s="29">
        <f>IF($A57="","",IF(D57="Solo interés",0,IF(AND(D57&lt;&gt;"Solo interés",C57=INDEX('Préstamos'!$G$2:$G$101,MATCH($A57,'Préstamos'!$A$2:$A$101,0))),INDEX('Préstamos'!$D$2:$D$101,MATCH($A57,'Préstamos'!$A$2:$A$101,0))-INDEX('Préstamos'!$J$2:$J$101,MATCH($A57,'Préstamos'!$A$2:$A$101,0))*(INDEX('Préstamos'!$G$2:$G$101,MATCH($A57,'Préstamos'!$A$2:$A$101,0))-1),INDEX('Préstamos'!$J$2:$J$101,MATCH($A57,'Préstamos'!$A$2:$A$101,0)))))</f>
        <v/>
      </c>
      <c r="G57" s="29">
        <f>IF($A57="","",IF(AND(D57&lt;&gt;"Solo interés",C57=INDEX('Préstamos'!$G$2:$G$101,MATCH($A57,'Préstamos'!$A$2:$A$101,0))),INDEX('Préstamos'!$I$2:$I$101,MATCH($A57,'Préstamos'!$A$2:$A$101,0))-INDEX('Préstamos'!$K$2:$K$101,MATCH($A57,'Préstamos'!$A$2:$A$101,0))*(INDEX('Préstamos'!$G$2:$G$101,MATCH($A57,'Préstamos'!$A$2:$A$101,0))-1),INDEX('Préstamos'!$K$2:$K$101,MATCH($A57,'Préstamos'!$A$2:$A$101,0))))</f>
        <v/>
      </c>
      <c r="H57" s="29">
        <f>IF($A57="","",F57+G57)</f>
        <v/>
      </c>
      <c r="I57" s="14" t="n"/>
      <c r="J57" s="33" t="n"/>
      <c r="K57" s="16">
        <f>IF(OR($A57="",I57="Pagado"),"",MAX(0,TODAY()-E57))</f>
        <v/>
      </c>
      <c r="L57" s="16">
        <f>IF($A57="","",IF(I57="Pagado","Pagado",IF(E57&lt;TODAY(),"Atrasado",IF(E57&lt;=EOMONTH(TODAY(),0),"Este mes","Pendiente"))))</f>
        <v/>
      </c>
      <c r="M57" s="20">
        <f>IF(OR($A57="",I57="Pagado"),"",HYPERLINK("https://wa.me/"&amp;IF(INDEX('Préstamos'!$C$2:$C$101,MATCH($A57,'Préstamos'!$A$2:$A$101,0))="","","51"&amp;SUBSTITUTE(INDEX('Préstamos'!$C$2:$C$101,MATCH($A57,'Préstamos'!$A$2:$A$101,0))," ",""))&amp;"?text="&amp;SUBSTITUTE("Hola "&amp;B57&amp;", te recuerdo que tu cuota de S/ "&amp;H57&amp;IF(E57&lt;TODAY()," vencio el "," vence el ")&amp;TEXT(E57,"dd/mm")&amp;". Gracias!"," ","%20"),"WhatsApp"))</f>
        <v/>
      </c>
    </row>
    <row r="58">
      <c r="A58" s="14" t="n"/>
      <c r="B58" s="16">
        <f>IF($A58="","",INDEX('Préstamos'!$B$2:$B$101,MATCH($A58,'Préstamos'!$A$2:$A$101,0)))</f>
        <v/>
      </c>
      <c r="C58" s="14" t="n"/>
      <c r="D58" s="14" t="n"/>
      <c r="E58" s="33" t="n"/>
      <c r="F58" s="29">
        <f>IF($A58="","",IF(D58="Solo interés",0,IF(AND(D58&lt;&gt;"Solo interés",C58=INDEX('Préstamos'!$G$2:$G$101,MATCH($A58,'Préstamos'!$A$2:$A$101,0))),INDEX('Préstamos'!$D$2:$D$101,MATCH($A58,'Préstamos'!$A$2:$A$101,0))-INDEX('Préstamos'!$J$2:$J$101,MATCH($A58,'Préstamos'!$A$2:$A$101,0))*(INDEX('Préstamos'!$G$2:$G$101,MATCH($A58,'Préstamos'!$A$2:$A$101,0))-1),INDEX('Préstamos'!$J$2:$J$101,MATCH($A58,'Préstamos'!$A$2:$A$101,0)))))</f>
        <v/>
      </c>
      <c r="G58" s="29">
        <f>IF($A58="","",IF(AND(D58&lt;&gt;"Solo interés",C58=INDEX('Préstamos'!$G$2:$G$101,MATCH($A58,'Préstamos'!$A$2:$A$101,0))),INDEX('Préstamos'!$I$2:$I$101,MATCH($A58,'Préstamos'!$A$2:$A$101,0))-INDEX('Préstamos'!$K$2:$K$101,MATCH($A58,'Préstamos'!$A$2:$A$101,0))*(INDEX('Préstamos'!$G$2:$G$101,MATCH($A58,'Préstamos'!$A$2:$A$101,0))-1),INDEX('Préstamos'!$K$2:$K$101,MATCH($A58,'Préstamos'!$A$2:$A$101,0))))</f>
        <v/>
      </c>
      <c r="H58" s="29">
        <f>IF($A58="","",F58+G58)</f>
        <v/>
      </c>
      <c r="I58" s="14" t="n"/>
      <c r="J58" s="33" t="n"/>
      <c r="K58" s="16">
        <f>IF(OR($A58="",I58="Pagado"),"",MAX(0,TODAY()-E58))</f>
        <v/>
      </c>
      <c r="L58" s="16">
        <f>IF($A58="","",IF(I58="Pagado","Pagado",IF(E58&lt;TODAY(),"Atrasado",IF(E58&lt;=EOMONTH(TODAY(),0),"Este mes","Pendiente"))))</f>
        <v/>
      </c>
      <c r="M58" s="20">
        <f>IF(OR($A58="",I58="Pagado"),"",HYPERLINK("https://wa.me/"&amp;IF(INDEX('Préstamos'!$C$2:$C$101,MATCH($A58,'Préstamos'!$A$2:$A$101,0))="","","51"&amp;SUBSTITUTE(INDEX('Préstamos'!$C$2:$C$101,MATCH($A58,'Préstamos'!$A$2:$A$101,0))," ",""))&amp;"?text="&amp;SUBSTITUTE("Hola "&amp;B58&amp;", te recuerdo que tu cuota de S/ "&amp;H58&amp;IF(E58&lt;TODAY()," vencio el "," vence el ")&amp;TEXT(E58,"dd/mm")&amp;". Gracias!"," ","%20"),"WhatsApp"))</f>
        <v/>
      </c>
    </row>
    <row r="59">
      <c r="A59" s="14" t="n"/>
      <c r="B59" s="16">
        <f>IF($A59="","",INDEX('Préstamos'!$B$2:$B$101,MATCH($A59,'Préstamos'!$A$2:$A$101,0)))</f>
        <v/>
      </c>
      <c r="C59" s="14" t="n"/>
      <c r="D59" s="14" t="n"/>
      <c r="E59" s="33" t="n"/>
      <c r="F59" s="29">
        <f>IF($A59="","",IF(D59="Solo interés",0,IF(AND(D59&lt;&gt;"Solo interés",C59=INDEX('Préstamos'!$G$2:$G$101,MATCH($A59,'Préstamos'!$A$2:$A$101,0))),INDEX('Préstamos'!$D$2:$D$101,MATCH($A59,'Préstamos'!$A$2:$A$101,0))-INDEX('Préstamos'!$J$2:$J$101,MATCH($A59,'Préstamos'!$A$2:$A$101,0))*(INDEX('Préstamos'!$G$2:$G$101,MATCH($A59,'Préstamos'!$A$2:$A$101,0))-1),INDEX('Préstamos'!$J$2:$J$101,MATCH($A59,'Préstamos'!$A$2:$A$101,0)))))</f>
        <v/>
      </c>
      <c r="G59" s="29">
        <f>IF($A59="","",IF(AND(D59&lt;&gt;"Solo interés",C59=INDEX('Préstamos'!$G$2:$G$101,MATCH($A59,'Préstamos'!$A$2:$A$101,0))),INDEX('Préstamos'!$I$2:$I$101,MATCH($A59,'Préstamos'!$A$2:$A$101,0))-INDEX('Préstamos'!$K$2:$K$101,MATCH($A59,'Préstamos'!$A$2:$A$101,0))*(INDEX('Préstamos'!$G$2:$G$101,MATCH($A59,'Préstamos'!$A$2:$A$101,0))-1),INDEX('Préstamos'!$K$2:$K$101,MATCH($A59,'Préstamos'!$A$2:$A$101,0))))</f>
        <v/>
      </c>
      <c r="H59" s="29">
        <f>IF($A59="","",F59+G59)</f>
        <v/>
      </c>
      <c r="I59" s="14" t="n"/>
      <c r="J59" s="33" t="n"/>
      <c r="K59" s="16">
        <f>IF(OR($A59="",I59="Pagado"),"",MAX(0,TODAY()-E59))</f>
        <v/>
      </c>
      <c r="L59" s="16">
        <f>IF($A59="","",IF(I59="Pagado","Pagado",IF(E59&lt;TODAY(),"Atrasado",IF(E59&lt;=EOMONTH(TODAY(),0),"Este mes","Pendiente"))))</f>
        <v/>
      </c>
      <c r="M59" s="20">
        <f>IF(OR($A59="",I59="Pagado"),"",HYPERLINK("https://wa.me/"&amp;IF(INDEX('Préstamos'!$C$2:$C$101,MATCH($A59,'Préstamos'!$A$2:$A$101,0))="","","51"&amp;SUBSTITUTE(INDEX('Préstamos'!$C$2:$C$101,MATCH($A59,'Préstamos'!$A$2:$A$101,0))," ",""))&amp;"?text="&amp;SUBSTITUTE("Hola "&amp;B59&amp;", te recuerdo que tu cuota de S/ "&amp;H59&amp;IF(E59&lt;TODAY()," vencio el "," vence el ")&amp;TEXT(E59,"dd/mm")&amp;". Gracias!"," ","%20"),"WhatsApp"))</f>
        <v/>
      </c>
    </row>
    <row r="60">
      <c r="A60" s="14" t="n"/>
      <c r="B60" s="16">
        <f>IF($A60="","",INDEX('Préstamos'!$B$2:$B$101,MATCH($A60,'Préstamos'!$A$2:$A$101,0)))</f>
        <v/>
      </c>
      <c r="C60" s="14" t="n"/>
      <c r="D60" s="14" t="n"/>
      <c r="E60" s="33" t="n"/>
      <c r="F60" s="29">
        <f>IF($A60="","",IF(D60="Solo interés",0,IF(AND(D60&lt;&gt;"Solo interés",C60=INDEX('Préstamos'!$G$2:$G$101,MATCH($A60,'Préstamos'!$A$2:$A$101,0))),INDEX('Préstamos'!$D$2:$D$101,MATCH($A60,'Préstamos'!$A$2:$A$101,0))-INDEX('Préstamos'!$J$2:$J$101,MATCH($A60,'Préstamos'!$A$2:$A$101,0))*(INDEX('Préstamos'!$G$2:$G$101,MATCH($A60,'Préstamos'!$A$2:$A$101,0))-1),INDEX('Préstamos'!$J$2:$J$101,MATCH($A60,'Préstamos'!$A$2:$A$101,0)))))</f>
        <v/>
      </c>
      <c r="G60" s="29">
        <f>IF($A60="","",IF(AND(D60&lt;&gt;"Solo interés",C60=INDEX('Préstamos'!$G$2:$G$101,MATCH($A60,'Préstamos'!$A$2:$A$101,0))),INDEX('Préstamos'!$I$2:$I$101,MATCH($A60,'Préstamos'!$A$2:$A$101,0))-INDEX('Préstamos'!$K$2:$K$101,MATCH($A60,'Préstamos'!$A$2:$A$101,0))*(INDEX('Préstamos'!$G$2:$G$101,MATCH($A60,'Préstamos'!$A$2:$A$101,0))-1),INDEX('Préstamos'!$K$2:$K$101,MATCH($A60,'Préstamos'!$A$2:$A$101,0))))</f>
        <v/>
      </c>
      <c r="H60" s="29">
        <f>IF($A60="","",F60+G60)</f>
        <v/>
      </c>
      <c r="I60" s="14" t="n"/>
      <c r="J60" s="33" t="n"/>
      <c r="K60" s="16">
        <f>IF(OR($A60="",I60="Pagado"),"",MAX(0,TODAY()-E60))</f>
        <v/>
      </c>
      <c r="L60" s="16">
        <f>IF($A60="","",IF(I60="Pagado","Pagado",IF(E60&lt;TODAY(),"Atrasado",IF(E60&lt;=EOMONTH(TODAY(),0),"Este mes","Pendiente"))))</f>
        <v/>
      </c>
      <c r="M60" s="20">
        <f>IF(OR($A60="",I60="Pagado"),"",HYPERLINK("https://wa.me/"&amp;IF(INDEX('Préstamos'!$C$2:$C$101,MATCH($A60,'Préstamos'!$A$2:$A$101,0))="","","51"&amp;SUBSTITUTE(INDEX('Préstamos'!$C$2:$C$101,MATCH($A60,'Préstamos'!$A$2:$A$101,0))," ",""))&amp;"?text="&amp;SUBSTITUTE("Hola "&amp;B60&amp;", te recuerdo que tu cuota de S/ "&amp;H60&amp;IF(E60&lt;TODAY()," vencio el "," vence el ")&amp;TEXT(E60,"dd/mm")&amp;". Gracias!"," ","%20"),"WhatsApp"))</f>
        <v/>
      </c>
    </row>
    <row r="61">
      <c r="A61" s="14" t="n"/>
      <c r="B61" s="16">
        <f>IF($A61="","",INDEX('Préstamos'!$B$2:$B$101,MATCH($A61,'Préstamos'!$A$2:$A$101,0)))</f>
        <v/>
      </c>
      <c r="C61" s="14" t="n"/>
      <c r="D61" s="14" t="n"/>
      <c r="E61" s="33" t="n"/>
      <c r="F61" s="29">
        <f>IF($A61="","",IF(D61="Solo interés",0,IF(AND(D61&lt;&gt;"Solo interés",C61=INDEX('Préstamos'!$G$2:$G$101,MATCH($A61,'Préstamos'!$A$2:$A$101,0))),INDEX('Préstamos'!$D$2:$D$101,MATCH($A61,'Préstamos'!$A$2:$A$101,0))-INDEX('Préstamos'!$J$2:$J$101,MATCH($A61,'Préstamos'!$A$2:$A$101,0))*(INDEX('Préstamos'!$G$2:$G$101,MATCH($A61,'Préstamos'!$A$2:$A$101,0))-1),INDEX('Préstamos'!$J$2:$J$101,MATCH($A61,'Préstamos'!$A$2:$A$101,0)))))</f>
        <v/>
      </c>
      <c r="G61" s="29">
        <f>IF($A61="","",IF(AND(D61&lt;&gt;"Solo interés",C61=INDEX('Préstamos'!$G$2:$G$101,MATCH($A61,'Préstamos'!$A$2:$A$101,0))),INDEX('Préstamos'!$I$2:$I$101,MATCH($A61,'Préstamos'!$A$2:$A$101,0))-INDEX('Préstamos'!$K$2:$K$101,MATCH($A61,'Préstamos'!$A$2:$A$101,0))*(INDEX('Préstamos'!$G$2:$G$101,MATCH($A61,'Préstamos'!$A$2:$A$101,0))-1),INDEX('Préstamos'!$K$2:$K$101,MATCH($A61,'Préstamos'!$A$2:$A$101,0))))</f>
        <v/>
      </c>
      <c r="H61" s="29">
        <f>IF($A61="","",F61+G61)</f>
        <v/>
      </c>
      <c r="I61" s="14" t="n"/>
      <c r="J61" s="33" t="n"/>
      <c r="K61" s="16">
        <f>IF(OR($A61="",I61="Pagado"),"",MAX(0,TODAY()-E61))</f>
        <v/>
      </c>
      <c r="L61" s="16">
        <f>IF($A61="","",IF(I61="Pagado","Pagado",IF(E61&lt;TODAY(),"Atrasado",IF(E61&lt;=EOMONTH(TODAY(),0),"Este mes","Pendiente"))))</f>
        <v/>
      </c>
      <c r="M61" s="20">
        <f>IF(OR($A61="",I61="Pagado"),"",HYPERLINK("https://wa.me/"&amp;IF(INDEX('Préstamos'!$C$2:$C$101,MATCH($A61,'Préstamos'!$A$2:$A$101,0))="","","51"&amp;SUBSTITUTE(INDEX('Préstamos'!$C$2:$C$101,MATCH($A61,'Préstamos'!$A$2:$A$101,0))," ",""))&amp;"?text="&amp;SUBSTITUTE("Hola "&amp;B61&amp;", te recuerdo que tu cuota de S/ "&amp;H61&amp;IF(E61&lt;TODAY()," vencio el "," vence el ")&amp;TEXT(E61,"dd/mm")&amp;". Gracias!"," ","%20"),"WhatsApp"))</f>
        <v/>
      </c>
    </row>
    <row r="62">
      <c r="A62" s="14" t="n"/>
      <c r="B62" s="16">
        <f>IF($A62="","",INDEX('Préstamos'!$B$2:$B$101,MATCH($A62,'Préstamos'!$A$2:$A$101,0)))</f>
        <v/>
      </c>
      <c r="C62" s="14" t="n"/>
      <c r="D62" s="14" t="n"/>
      <c r="E62" s="33" t="n"/>
      <c r="F62" s="29">
        <f>IF($A62="","",IF(D62="Solo interés",0,IF(AND(D62&lt;&gt;"Solo interés",C62=INDEX('Préstamos'!$G$2:$G$101,MATCH($A62,'Préstamos'!$A$2:$A$101,0))),INDEX('Préstamos'!$D$2:$D$101,MATCH($A62,'Préstamos'!$A$2:$A$101,0))-INDEX('Préstamos'!$J$2:$J$101,MATCH($A62,'Préstamos'!$A$2:$A$101,0))*(INDEX('Préstamos'!$G$2:$G$101,MATCH($A62,'Préstamos'!$A$2:$A$101,0))-1),INDEX('Préstamos'!$J$2:$J$101,MATCH($A62,'Préstamos'!$A$2:$A$101,0)))))</f>
        <v/>
      </c>
      <c r="G62" s="29">
        <f>IF($A62="","",IF(AND(D62&lt;&gt;"Solo interés",C62=INDEX('Préstamos'!$G$2:$G$101,MATCH($A62,'Préstamos'!$A$2:$A$101,0))),INDEX('Préstamos'!$I$2:$I$101,MATCH($A62,'Préstamos'!$A$2:$A$101,0))-INDEX('Préstamos'!$K$2:$K$101,MATCH($A62,'Préstamos'!$A$2:$A$101,0))*(INDEX('Préstamos'!$G$2:$G$101,MATCH($A62,'Préstamos'!$A$2:$A$101,0))-1),INDEX('Préstamos'!$K$2:$K$101,MATCH($A62,'Préstamos'!$A$2:$A$101,0))))</f>
        <v/>
      </c>
      <c r="H62" s="29">
        <f>IF($A62="","",F62+G62)</f>
        <v/>
      </c>
      <c r="I62" s="14" t="n"/>
      <c r="J62" s="33" t="n"/>
      <c r="K62" s="16">
        <f>IF(OR($A62="",I62="Pagado"),"",MAX(0,TODAY()-E62))</f>
        <v/>
      </c>
      <c r="L62" s="16">
        <f>IF($A62="","",IF(I62="Pagado","Pagado",IF(E62&lt;TODAY(),"Atrasado",IF(E62&lt;=EOMONTH(TODAY(),0),"Este mes","Pendiente"))))</f>
        <v/>
      </c>
      <c r="M62" s="20">
        <f>IF(OR($A62="",I62="Pagado"),"",HYPERLINK("https://wa.me/"&amp;IF(INDEX('Préstamos'!$C$2:$C$101,MATCH($A62,'Préstamos'!$A$2:$A$101,0))="","","51"&amp;SUBSTITUTE(INDEX('Préstamos'!$C$2:$C$101,MATCH($A62,'Préstamos'!$A$2:$A$101,0))," ",""))&amp;"?text="&amp;SUBSTITUTE("Hola "&amp;B62&amp;", te recuerdo que tu cuota de S/ "&amp;H62&amp;IF(E62&lt;TODAY()," vencio el "," vence el ")&amp;TEXT(E62,"dd/mm")&amp;". Gracias!"," ","%20"),"WhatsApp"))</f>
        <v/>
      </c>
    </row>
    <row r="63">
      <c r="A63" s="14" t="n"/>
      <c r="B63" s="16">
        <f>IF($A63="","",INDEX('Préstamos'!$B$2:$B$101,MATCH($A63,'Préstamos'!$A$2:$A$101,0)))</f>
        <v/>
      </c>
      <c r="C63" s="14" t="n"/>
      <c r="D63" s="14" t="n"/>
      <c r="E63" s="33" t="n"/>
      <c r="F63" s="29">
        <f>IF($A63="","",IF(D63="Solo interés",0,IF(AND(D63&lt;&gt;"Solo interés",C63=INDEX('Préstamos'!$G$2:$G$101,MATCH($A63,'Préstamos'!$A$2:$A$101,0))),INDEX('Préstamos'!$D$2:$D$101,MATCH($A63,'Préstamos'!$A$2:$A$101,0))-INDEX('Préstamos'!$J$2:$J$101,MATCH($A63,'Préstamos'!$A$2:$A$101,0))*(INDEX('Préstamos'!$G$2:$G$101,MATCH($A63,'Préstamos'!$A$2:$A$101,0))-1),INDEX('Préstamos'!$J$2:$J$101,MATCH($A63,'Préstamos'!$A$2:$A$101,0)))))</f>
        <v/>
      </c>
      <c r="G63" s="29">
        <f>IF($A63="","",IF(AND(D63&lt;&gt;"Solo interés",C63=INDEX('Préstamos'!$G$2:$G$101,MATCH($A63,'Préstamos'!$A$2:$A$101,0))),INDEX('Préstamos'!$I$2:$I$101,MATCH($A63,'Préstamos'!$A$2:$A$101,0))-INDEX('Préstamos'!$K$2:$K$101,MATCH($A63,'Préstamos'!$A$2:$A$101,0))*(INDEX('Préstamos'!$G$2:$G$101,MATCH($A63,'Préstamos'!$A$2:$A$101,0))-1),INDEX('Préstamos'!$K$2:$K$101,MATCH($A63,'Préstamos'!$A$2:$A$101,0))))</f>
        <v/>
      </c>
      <c r="H63" s="29">
        <f>IF($A63="","",F63+G63)</f>
        <v/>
      </c>
      <c r="I63" s="14" t="n"/>
      <c r="J63" s="33" t="n"/>
      <c r="K63" s="16">
        <f>IF(OR($A63="",I63="Pagado"),"",MAX(0,TODAY()-E63))</f>
        <v/>
      </c>
      <c r="L63" s="16">
        <f>IF($A63="","",IF(I63="Pagado","Pagado",IF(E63&lt;TODAY(),"Atrasado",IF(E63&lt;=EOMONTH(TODAY(),0),"Este mes","Pendiente"))))</f>
        <v/>
      </c>
      <c r="M63" s="20">
        <f>IF(OR($A63="",I63="Pagado"),"",HYPERLINK("https://wa.me/"&amp;IF(INDEX('Préstamos'!$C$2:$C$101,MATCH($A63,'Préstamos'!$A$2:$A$101,0))="","","51"&amp;SUBSTITUTE(INDEX('Préstamos'!$C$2:$C$101,MATCH($A63,'Préstamos'!$A$2:$A$101,0))," ",""))&amp;"?text="&amp;SUBSTITUTE("Hola "&amp;B63&amp;", te recuerdo que tu cuota de S/ "&amp;H63&amp;IF(E63&lt;TODAY()," vencio el "," vence el ")&amp;TEXT(E63,"dd/mm")&amp;". Gracias!"," ","%20"),"WhatsApp"))</f>
        <v/>
      </c>
    </row>
    <row r="64">
      <c r="A64" s="14" t="n"/>
      <c r="B64" s="16">
        <f>IF($A64="","",INDEX('Préstamos'!$B$2:$B$101,MATCH($A64,'Préstamos'!$A$2:$A$101,0)))</f>
        <v/>
      </c>
      <c r="C64" s="14" t="n"/>
      <c r="D64" s="14" t="n"/>
      <c r="E64" s="33" t="n"/>
      <c r="F64" s="29">
        <f>IF($A64="","",IF(D64="Solo interés",0,IF(AND(D64&lt;&gt;"Solo interés",C64=INDEX('Préstamos'!$G$2:$G$101,MATCH($A64,'Préstamos'!$A$2:$A$101,0))),INDEX('Préstamos'!$D$2:$D$101,MATCH($A64,'Préstamos'!$A$2:$A$101,0))-INDEX('Préstamos'!$J$2:$J$101,MATCH($A64,'Préstamos'!$A$2:$A$101,0))*(INDEX('Préstamos'!$G$2:$G$101,MATCH($A64,'Préstamos'!$A$2:$A$101,0))-1),INDEX('Préstamos'!$J$2:$J$101,MATCH($A64,'Préstamos'!$A$2:$A$101,0)))))</f>
        <v/>
      </c>
      <c r="G64" s="29">
        <f>IF($A64="","",IF(AND(D64&lt;&gt;"Solo interés",C64=INDEX('Préstamos'!$G$2:$G$101,MATCH($A64,'Préstamos'!$A$2:$A$101,0))),INDEX('Préstamos'!$I$2:$I$101,MATCH($A64,'Préstamos'!$A$2:$A$101,0))-INDEX('Préstamos'!$K$2:$K$101,MATCH($A64,'Préstamos'!$A$2:$A$101,0))*(INDEX('Préstamos'!$G$2:$G$101,MATCH($A64,'Préstamos'!$A$2:$A$101,0))-1),INDEX('Préstamos'!$K$2:$K$101,MATCH($A64,'Préstamos'!$A$2:$A$101,0))))</f>
        <v/>
      </c>
      <c r="H64" s="29">
        <f>IF($A64="","",F64+G64)</f>
        <v/>
      </c>
      <c r="I64" s="14" t="n"/>
      <c r="J64" s="33" t="n"/>
      <c r="K64" s="16">
        <f>IF(OR($A64="",I64="Pagado"),"",MAX(0,TODAY()-E64))</f>
        <v/>
      </c>
      <c r="L64" s="16">
        <f>IF($A64="","",IF(I64="Pagado","Pagado",IF(E64&lt;TODAY(),"Atrasado",IF(E64&lt;=EOMONTH(TODAY(),0),"Este mes","Pendiente"))))</f>
        <v/>
      </c>
      <c r="M64" s="20">
        <f>IF(OR($A64="",I64="Pagado"),"",HYPERLINK("https://wa.me/"&amp;IF(INDEX('Préstamos'!$C$2:$C$101,MATCH($A64,'Préstamos'!$A$2:$A$101,0))="","","51"&amp;SUBSTITUTE(INDEX('Préstamos'!$C$2:$C$101,MATCH($A64,'Préstamos'!$A$2:$A$101,0))," ",""))&amp;"?text="&amp;SUBSTITUTE("Hola "&amp;B64&amp;", te recuerdo que tu cuota de S/ "&amp;H64&amp;IF(E64&lt;TODAY()," vencio el "," vence el ")&amp;TEXT(E64,"dd/mm")&amp;". Gracias!"," ","%20"),"WhatsApp"))</f>
        <v/>
      </c>
    </row>
    <row r="65">
      <c r="A65" s="14" t="n"/>
      <c r="B65" s="16">
        <f>IF($A65="","",INDEX('Préstamos'!$B$2:$B$101,MATCH($A65,'Préstamos'!$A$2:$A$101,0)))</f>
        <v/>
      </c>
      <c r="C65" s="14" t="n"/>
      <c r="D65" s="14" t="n"/>
      <c r="E65" s="33" t="n"/>
      <c r="F65" s="29">
        <f>IF($A65="","",IF(D65="Solo interés",0,IF(AND(D65&lt;&gt;"Solo interés",C65=INDEX('Préstamos'!$G$2:$G$101,MATCH($A65,'Préstamos'!$A$2:$A$101,0))),INDEX('Préstamos'!$D$2:$D$101,MATCH($A65,'Préstamos'!$A$2:$A$101,0))-INDEX('Préstamos'!$J$2:$J$101,MATCH($A65,'Préstamos'!$A$2:$A$101,0))*(INDEX('Préstamos'!$G$2:$G$101,MATCH($A65,'Préstamos'!$A$2:$A$101,0))-1),INDEX('Préstamos'!$J$2:$J$101,MATCH($A65,'Préstamos'!$A$2:$A$101,0)))))</f>
        <v/>
      </c>
      <c r="G65" s="29">
        <f>IF($A65="","",IF(AND(D65&lt;&gt;"Solo interés",C65=INDEX('Préstamos'!$G$2:$G$101,MATCH($A65,'Préstamos'!$A$2:$A$101,0))),INDEX('Préstamos'!$I$2:$I$101,MATCH($A65,'Préstamos'!$A$2:$A$101,0))-INDEX('Préstamos'!$K$2:$K$101,MATCH($A65,'Préstamos'!$A$2:$A$101,0))*(INDEX('Préstamos'!$G$2:$G$101,MATCH($A65,'Préstamos'!$A$2:$A$101,0))-1),INDEX('Préstamos'!$K$2:$K$101,MATCH($A65,'Préstamos'!$A$2:$A$101,0))))</f>
        <v/>
      </c>
      <c r="H65" s="29">
        <f>IF($A65="","",F65+G65)</f>
        <v/>
      </c>
      <c r="I65" s="14" t="n"/>
      <c r="J65" s="33" t="n"/>
      <c r="K65" s="16">
        <f>IF(OR($A65="",I65="Pagado"),"",MAX(0,TODAY()-E65))</f>
        <v/>
      </c>
      <c r="L65" s="16">
        <f>IF($A65="","",IF(I65="Pagado","Pagado",IF(E65&lt;TODAY(),"Atrasado",IF(E65&lt;=EOMONTH(TODAY(),0),"Este mes","Pendiente"))))</f>
        <v/>
      </c>
      <c r="M65" s="20">
        <f>IF(OR($A65="",I65="Pagado"),"",HYPERLINK("https://wa.me/"&amp;IF(INDEX('Préstamos'!$C$2:$C$101,MATCH($A65,'Préstamos'!$A$2:$A$101,0))="","","51"&amp;SUBSTITUTE(INDEX('Préstamos'!$C$2:$C$101,MATCH($A65,'Préstamos'!$A$2:$A$101,0))," ",""))&amp;"?text="&amp;SUBSTITUTE("Hola "&amp;B65&amp;", te recuerdo que tu cuota de S/ "&amp;H65&amp;IF(E65&lt;TODAY()," vencio el "," vence el ")&amp;TEXT(E65,"dd/mm")&amp;". Gracias!"," ","%20"),"WhatsApp"))</f>
        <v/>
      </c>
    </row>
    <row r="66">
      <c r="A66" s="14" t="n"/>
      <c r="B66" s="16">
        <f>IF($A66="","",INDEX('Préstamos'!$B$2:$B$101,MATCH($A66,'Préstamos'!$A$2:$A$101,0)))</f>
        <v/>
      </c>
      <c r="C66" s="14" t="n"/>
      <c r="D66" s="14" t="n"/>
      <c r="E66" s="33" t="n"/>
      <c r="F66" s="29">
        <f>IF($A66="","",IF(D66="Solo interés",0,IF(AND(D66&lt;&gt;"Solo interés",C66=INDEX('Préstamos'!$G$2:$G$101,MATCH($A66,'Préstamos'!$A$2:$A$101,0))),INDEX('Préstamos'!$D$2:$D$101,MATCH($A66,'Préstamos'!$A$2:$A$101,0))-INDEX('Préstamos'!$J$2:$J$101,MATCH($A66,'Préstamos'!$A$2:$A$101,0))*(INDEX('Préstamos'!$G$2:$G$101,MATCH($A66,'Préstamos'!$A$2:$A$101,0))-1),INDEX('Préstamos'!$J$2:$J$101,MATCH($A66,'Préstamos'!$A$2:$A$101,0)))))</f>
        <v/>
      </c>
      <c r="G66" s="29">
        <f>IF($A66="","",IF(AND(D66&lt;&gt;"Solo interés",C66=INDEX('Préstamos'!$G$2:$G$101,MATCH($A66,'Préstamos'!$A$2:$A$101,0))),INDEX('Préstamos'!$I$2:$I$101,MATCH($A66,'Préstamos'!$A$2:$A$101,0))-INDEX('Préstamos'!$K$2:$K$101,MATCH($A66,'Préstamos'!$A$2:$A$101,0))*(INDEX('Préstamos'!$G$2:$G$101,MATCH($A66,'Préstamos'!$A$2:$A$101,0))-1),INDEX('Préstamos'!$K$2:$K$101,MATCH($A66,'Préstamos'!$A$2:$A$101,0))))</f>
        <v/>
      </c>
      <c r="H66" s="29">
        <f>IF($A66="","",F66+G66)</f>
        <v/>
      </c>
      <c r="I66" s="14" t="n"/>
      <c r="J66" s="33" t="n"/>
      <c r="K66" s="16">
        <f>IF(OR($A66="",I66="Pagado"),"",MAX(0,TODAY()-E66))</f>
        <v/>
      </c>
      <c r="L66" s="16">
        <f>IF($A66="","",IF(I66="Pagado","Pagado",IF(E66&lt;TODAY(),"Atrasado",IF(E66&lt;=EOMONTH(TODAY(),0),"Este mes","Pendiente"))))</f>
        <v/>
      </c>
      <c r="M66" s="20">
        <f>IF(OR($A66="",I66="Pagado"),"",HYPERLINK("https://wa.me/"&amp;IF(INDEX('Préstamos'!$C$2:$C$101,MATCH($A66,'Préstamos'!$A$2:$A$101,0))="","","51"&amp;SUBSTITUTE(INDEX('Préstamos'!$C$2:$C$101,MATCH($A66,'Préstamos'!$A$2:$A$101,0))," ",""))&amp;"?text="&amp;SUBSTITUTE("Hola "&amp;B66&amp;", te recuerdo que tu cuota de S/ "&amp;H66&amp;IF(E66&lt;TODAY()," vencio el "," vence el ")&amp;TEXT(E66,"dd/mm")&amp;". Gracias!"," ","%20"),"WhatsApp"))</f>
        <v/>
      </c>
    </row>
    <row r="67">
      <c r="A67" s="14" t="n"/>
      <c r="B67" s="16">
        <f>IF($A67="","",INDEX('Préstamos'!$B$2:$B$101,MATCH($A67,'Préstamos'!$A$2:$A$101,0)))</f>
        <v/>
      </c>
      <c r="C67" s="14" t="n"/>
      <c r="D67" s="14" t="n"/>
      <c r="E67" s="33" t="n"/>
      <c r="F67" s="29">
        <f>IF($A67="","",IF(D67="Solo interés",0,IF(AND(D67&lt;&gt;"Solo interés",C67=INDEX('Préstamos'!$G$2:$G$101,MATCH($A67,'Préstamos'!$A$2:$A$101,0))),INDEX('Préstamos'!$D$2:$D$101,MATCH($A67,'Préstamos'!$A$2:$A$101,0))-INDEX('Préstamos'!$J$2:$J$101,MATCH($A67,'Préstamos'!$A$2:$A$101,0))*(INDEX('Préstamos'!$G$2:$G$101,MATCH($A67,'Préstamos'!$A$2:$A$101,0))-1),INDEX('Préstamos'!$J$2:$J$101,MATCH($A67,'Préstamos'!$A$2:$A$101,0)))))</f>
        <v/>
      </c>
      <c r="G67" s="29">
        <f>IF($A67="","",IF(AND(D67&lt;&gt;"Solo interés",C67=INDEX('Préstamos'!$G$2:$G$101,MATCH($A67,'Préstamos'!$A$2:$A$101,0))),INDEX('Préstamos'!$I$2:$I$101,MATCH($A67,'Préstamos'!$A$2:$A$101,0))-INDEX('Préstamos'!$K$2:$K$101,MATCH($A67,'Préstamos'!$A$2:$A$101,0))*(INDEX('Préstamos'!$G$2:$G$101,MATCH($A67,'Préstamos'!$A$2:$A$101,0))-1),INDEX('Préstamos'!$K$2:$K$101,MATCH($A67,'Préstamos'!$A$2:$A$101,0))))</f>
        <v/>
      </c>
      <c r="H67" s="29">
        <f>IF($A67="","",F67+G67)</f>
        <v/>
      </c>
      <c r="I67" s="14" t="n"/>
      <c r="J67" s="33" t="n"/>
      <c r="K67" s="16">
        <f>IF(OR($A67="",I67="Pagado"),"",MAX(0,TODAY()-E67))</f>
        <v/>
      </c>
      <c r="L67" s="16">
        <f>IF($A67="","",IF(I67="Pagado","Pagado",IF(E67&lt;TODAY(),"Atrasado",IF(E67&lt;=EOMONTH(TODAY(),0),"Este mes","Pendiente"))))</f>
        <v/>
      </c>
      <c r="M67" s="20">
        <f>IF(OR($A67="",I67="Pagado"),"",HYPERLINK("https://wa.me/"&amp;IF(INDEX('Préstamos'!$C$2:$C$101,MATCH($A67,'Préstamos'!$A$2:$A$101,0))="","","51"&amp;SUBSTITUTE(INDEX('Préstamos'!$C$2:$C$101,MATCH($A67,'Préstamos'!$A$2:$A$101,0))," ",""))&amp;"?text="&amp;SUBSTITUTE("Hola "&amp;B67&amp;", te recuerdo que tu cuota de S/ "&amp;H67&amp;IF(E67&lt;TODAY()," vencio el "," vence el ")&amp;TEXT(E67,"dd/mm")&amp;". Gracias!"," ","%20"),"WhatsApp"))</f>
        <v/>
      </c>
    </row>
    <row r="68">
      <c r="A68" s="14" t="n"/>
      <c r="B68" s="16">
        <f>IF($A68="","",INDEX('Préstamos'!$B$2:$B$101,MATCH($A68,'Préstamos'!$A$2:$A$101,0)))</f>
        <v/>
      </c>
      <c r="C68" s="14" t="n"/>
      <c r="D68" s="14" t="n"/>
      <c r="E68" s="33" t="n"/>
      <c r="F68" s="29">
        <f>IF($A68="","",IF(D68="Solo interés",0,IF(AND(D68&lt;&gt;"Solo interés",C68=INDEX('Préstamos'!$G$2:$G$101,MATCH($A68,'Préstamos'!$A$2:$A$101,0))),INDEX('Préstamos'!$D$2:$D$101,MATCH($A68,'Préstamos'!$A$2:$A$101,0))-INDEX('Préstamos'!$J$2:$J$101,MATCH($A68,'Préstamos'!$A$2:$A$101,0))*(INDEX('Préstamos'!$G$2:$G$101,MATCH($A68,'Préstamos'!$A$2:$A$101,0))-1),INDEX('Préstamos'!$J$2:$J$101,MATCH($A68,'Préstamos'!$A$2:$A$101,0)))))</f>
        <v/>
      </c>
      <c r="G68" s="29">
        <f>IF($A68="","",IF(AND(D68&lt;&gt;"Solo interés",C68=INDEX('Préstamos'!$G$2:$G$101,MATCH($A68,'Préstamos'!$A$2:$A$101,0))),INDEX('Préstamos'!$I$2:$I$101,MATCH($A68,'Préstamos'!$A$2:$A$101,0))-INDEX('Préstamos'!$K$2:$K$101,MATCH($A68,'Préstamos'!$A$2:$A$101,0))*(INDEX('Préstamos'!$G$2:$G$101,MATCH($A68,'Préstamos'!$A$2:$A$101,0))-1),INDEX('Préstamos'!$K$2:$K$101,MATCH($A68,'Préstamos'!$A$2:$A$101,0))))</f>
        <v/>
      </c>
      <c r="H68" s="29">
        <f>IF($A68="","",F68+G68)</f>
        <v/>
      </c>
      <c r="I68" s="14" t="n"/>
      <c r="J68" s="33" t="n"/>
      <c r="K68" s="16">
        <f>IF(OR($A68="",I68="Pagado"),"",MAX(0,TODAY()-E68))</f>
        <v/>
      </c>
      <c r="L68" s="16">
        <f>IF($A68="","",IF(I68="Pagado","Pagado",IF(E68&lt;TODAY(),"Atrasado",IF(E68&lt;=EOMONTH(TODAY(),0),"Este mes","Pendiente"))))</f>
        <v/>
      </c>
      <c r="M68" s="20">
        <f>IF(OR($A68="",I68="Pagado"),"",HYPERLINK("https://wa.me/"&amp;IF(INDEX('Préstamos'!$C$2:$C$101,MATCH($A68,'Préstamos'!$A$2:$A$101,0))="","","51"&amp;SUBSTITUTE(INDEX('Préstamos'!$C$2:$C$101,MATCH($A68,'Préstamos'!$A$2:$A$101,0))," ",""))&amp;"?text="&amp;SUBSTITUTE("Hola "&amp;B68&amp;", te recuerdo que tu cuota de S/ "&amp;H68&amp;IF(E68&lt;TODAY()," vencio el "," vence el ")&amp;TEXT(E68,"dd/mm")&amp;". Gracias!"," ","%20"),"WhatsApp"))</f>
        <v/>
      </c>
    </row>
    <row r="69">
      <c r="A69" s="14" t="n"/>
      <c r="B69" s="16">
        <f>IF($A69="","",INDEX('Préstamos'!$B$2:$B$101,MATCH($A69,'Préstamos'!$A$2:$A$101,0)))</f>
        <v/>
      </c>
      <c r="C69" s="14" t="n"/>
      <c r="D69" s="14" t="n"/>
      <c r="E69" s="33" t="n"/>
      <c r="F69" s="29">
        <f>IF($A69="","",IF(D69="Solo interés",0,IF(AND(D69&lt;&gt;"Solo interés",C69=INDEX('Préstamos'!$G$2:$G$101,MATCH($A69,'Préstamos'!$A$2:$A$101,0))),INDEX('Préstamos'!$D$2:$D$101,MATCH($A69,'Préstamos'!$A$2:$A$101,0))-INDEX('Préstamos'!$J$2:$J$101,MATCH($A69,'Préstamos'!$A$2:$A$101,0))*(INDEX('Préstamos'!$G$2:$G$101,MATCH($A69,'Préstamos'!$A$2:$A$101,0))-1),INDEX('Préstamos'!$J$2:$J$101,MATCH($A69,'Préstamos'!$A$2:$A$101,0)))))</f>
        <v/>
      </c>
      <c r="G69" s="29">
        <f>IF($A69="","",IF(AND(D69&lt;&gt;"Solo interés",C69=INDEX('Préstamos'!$G$2:$G$101,MATCH($A69,'Préstamos'!$A$2:$A$101,0))),INDEX('Préstamos'!$I$2:$I$101,MATCH($A69,'Préstamos'!$A$2:$A$101,0))-INDEX('Préstamos'!$K$2:$K$101,MATCH($A69,'Préstamos'!$A$2:$A$101,0))*(INDEX('Préstamos'!$G$2:$G$101,MATCH($A69,'Préstamos'!$A$2:$A$101,0))-1),INDEX('Préstamos'!$K$2:$K$101,MATCH($A69,'Préstamos'!$A$2:$A$101,0))))</f>
        <v/>
      </c>
      <c r="H69" s="29">
        <f>IF($A69="","",F69+G69)</f>
        <v/>
      </c>
      <c r="I69" s="14" t="n"/>
      <c r="J69" s="33" t="n"/>
      <c r="K69" s="16">
        <f>IF(OR($A69="",I69="Pagado"),"",MAX(0,TODAY()-E69))</f>
        <v/>
      </c>
      <c r="L69" s="16">
        <f>IF($A69="","",IF(I69="Pagado","Pagado",IF(E69&lt;TODAY(),"Atrasado",IF(E69&lt;=EOMONTH(TODAY(),0),"Este mes","Pendiente"))))</f>
        <v/>
      </c>
      <c r="M69" s="20">
        <f>IF(OR($A69="",I69="Pagado"),"",HYPERLINK("https://wa.me/"&amp;IF(INDEX('Préstamos'!$C$2:$C$101,MATCH($A69,'Préstamos'!$A$2:$A$101,0))="","","51"&amp;SUBSTITUTE(INDEX('Préstamos'!$C$2:$C$101,MATCH($A69,'Préstamos'!$A$2:$A$101,0))," ",""))&amp;"?text="&amp;SUBSTITUTE("Hola "&amp;B69&amp;", te recuerdo que tu cuota de S/ "&amp;H69&amp;IF(E69&lt;TODAY()," vencio el "," vence el ")&amp;TEXT(E69,"dd/mm")&amp;". Gracias!"," ","%20"),"WhatsApp"))</f>
        <v/>
      </c>
    </row>
    <row r="70">
      <c r="A70" s="14" t="n"/>
      <c r="B70" s="16">
        <f>IF($A70="","",INDEX('Préstamos'!$B$2:$B$101,MATCH($A70,'Préstamos'!$A$2:$A$101,0)))</f>
        <v/>
      </c>
      <c r="C70" s="14" t="n"/>
      <c r="D70" s="14" t="n"/>
      <c r="E70" s="33" t="n"/>
      <c r="F70" s="29">
        <f>IF($A70="","",IF(D70="Solo interés",0,IF(AND(D70&lt;&gt;"Solo interés",C70=INDEX('Préstamos'!$G$2:$G$101,MATCH($A70,'Préstamos'!$A$2:$A$101,0))),INDEX('Préstamos'!$D$2:$D$101,MATCH($A70,'Préstamos'!$A$2:$A$101,0))-INDEX('Préstamos'!$J$2:$J$101,MATCH($A70,'Préstamos'!$A$2:$A$101,0))*(INDEX('Préstamos'!$G$2:$G$101,MATCH($A70,'Préstamos'!$A$2:$A$101,0))-1),INDEX('Préstamos'!$J$2:$J$101,MATCH($A70,'Préstamos'!$A$2:$A$101,0)))))</f>
        <v/>
      </c>
      <c r="G70" s="29">
        <f>IF($A70="","",IF(AND(D70&lt;&gt;"Solo interés",C70=INDEX('Préstamos'!$G$2:$G$101,MATCH($A70,'Préstamos'!$A$2:$A$101,0))),INDEX('Préstamos'!$I$2:$I$101,MATCH($A70,'Préstamos'!$A$2:$A$101,0))-INDEX('Préstamos'!$K$2:$K$101,MATCH($A70,'Préstamos'!$A$2:$A$101,0))*(INDEX('Préstamos'!$G$2:$G$101,MATCH($A70,'Préstamos'!$A$2:$A$101,0))-1),INDEX('Préstamos'!$K$2:$K$101,MATCH($A70,'Préstamos'!$A$2:$A$101,0))))</f>
        <v/>
      </c>
      <c r="H70" s="29">
        <f>IF($A70="","",F70+G70)</f>
        <v/>
      </c>
      <c r="I70" s="14" t="n"/>
      <c r="J70" s="33" t="n"/>
      <c r="K70" s="16">
        <f>IF(OR($A70="",I70="Pagado"),"",MAX(0,TODAY()-E70))</f>
        <v/>
      </c>
      <c r="L70" s="16">
        <f>IF($A70="","",IF(I70="Pagado","Pagado",IF(E70&lt;TODAY(),"Atrasado",IF(E70&lt;=EOMONTH(TODAY(),0),"Este mes","Pendiente"))))</f>
        <v/>
      </c>
      <c r="M70" s="20">
        <f>IF(OR($A70="",I70="Pagado"),"",HYPERLINK("https://wa.me/"&amp;IF(INDEX('Préstamos'!$C$2:$C$101,MATCH($A70,'Préstamos'!$A$2:$A$101,0))="","","51"&amp;SUBSTITUTE(INDEX('Préstamos'!$C$2:$C$101,MATCH($A70,'Préstamos'!$A$2:$A$101,0))," ",""))&amp;"?text="&amp;SUBSTITUTE("Hola "&amp;B70&amp;", te recuerdo que tu cuota de S/ "&amp;H70&amp;IF(E70&lt;TODAY()," vencio el "," vence el ")&amp;TEXT(E70,"dd/mm")&amp;". Gracias!"," ","%20"),"WhatsApp"))</f>
        <v/>
      </c>
    </row>
    <row r="71">
      <c r="A71" s="14" t="n"/>
      <c r="B71" s="16">
        <f>IF($A71="","",INDEX('Préstamos'!$B$2:$B$101,MATCH($A71,'Préstamos'!$A$2:$A$101,0)))</f>
        <v/>
      </c>
      <c r="C71" s="14" t="n"/>
      <c r="D71" s="14" t="n"/>
      <c r="E71" s="33" t="n"/>
      <c r="F71" s="29">
        <f>IF($A71="","",IF(D71="Solo interés",0,IF(AND(D71&lt;&gt;"Solo interés",C71=INDEX('Préstamos'!$G$2:$G$101,MATCH($A71,'Préstamos'!$A$2:$A$101,0))),INDEX('Préstamos'!$D$2:$D$101,MATCH($A71,'Préstamos'!$A$2:$A$101,0))-INDEX('Préstamos'!$J$2:$J$101,MATCH($A71,'Préstamos'!$A$2:$A$101,0))*(INDEX('Préstamos'!$G$2:$G$101,MATCH($A71,'Préstamos'!$A$2:$A$101,0))-1),INDEX('Préstamos'!$J$2:$J$101,MATCH($A71,'Préstamos'!$A$2:$A$101,0)))))</f>
        <v/>
      </c>
      <c r="G71" s="29">
        <f>IF($A71="","",IF(AND(D71&lt;&gt;"Solo interés",C71=INDEX('Préstamos'!$G$2:$G$101,MATCH($A71,'Préstamos'!$A$2:$A$101,0))),INDEX('Préstamos'!$I$2:$I$101,MATCH($A71,'Préstamos'!$A$2:$A$101,0))-INDEX('Préstamos'!$K$2:$K$101,MATCH($A71,'Préstamos'!$A$2:$A$101,0))*(INDEX('Préstamos'!$G$2:$G$101,MATCH($A71,'Préstamos'!$A$2:$A$101,0))-1),INDEX('Préstamos'!$K$2:$K$101,MATCH($A71,'Préstamos'!$A$2:$A$101,0))))</f>
        <v/>
      </c>
      <c r="H71" s="29">
        <f>IF($A71="","",F71+G71)</f>
        <v/>
      </c>
      <c r="I71" s="14" t="n"/>
      <c r="J71" s="33" t="n"/>
      <c r="K71" s="16">
        <f>IF(OR($A71="",I71="Pagado"),"",MAX(0,TODAY()-E71))</f>
        <v/>
      </c>
      <c r="L71" s="16">
        <f>IF($A71="","",IF(I71="Pagado","Pagado",IF(E71&lt;TODAY(),"Atrasado",IF(E71&lt;=EOMONTH(TODAY(),0),"Este mes","Pendiente"))))</f>
        <v/>
      </c>
      <c r="M71" s="20">
        <f>IF(OR($A71="",I71="Pagado"),"",HYPERLINK("https://wa.me/"&amp;IF(INDEX('Préstamos'!$C$2:$C$101,MATCH($A71,'Préstamos'!$A$2:$A$101,0))="","","51"&amp;SUBSTITUTE(INDEX('Préstamos'!$C$2:$C$101,MATCH($A71,'Préstamos'!$A$2:$A$101,0))," ",""))&amp;"?text="&amp;SUBSTITUTE("Hola "&amp;B71&amp;", te recuerdo que tu cuota de S/ "&amp;H71&amp;IF(E71&lt;TODAY()," vencio el "," vence el ")&amp;TEXT(E71,"dd/mm")&amp;". Gracias!"," ","%20"),"WhatsApp"))</f>
        <v/>
      </c>
    </row>
    <row r="72">
      <c r="A72" s="14" t="n"/>
      <c r="B72" s="16">
        <f>IF($A72="","",INDEX('Préstamos'!$B$2:$B$101,MATCH($A72,'Préstamos'!$A$2:$A$101,0)))</f>
        <v/>
      </c>
      <c r="C72" s="14" t="n"/>
      <c r="D72" s="14" t="n"/>
      <c r="E72" s="33" t="n"/>
      <c r="F72" s="29">
        <f>IF($A72="","",IF(D72="Solo interés",0,IF(AND(D72&lt;&gt;"Solo interés",C72=INDEX('Préstamos'!$G$2:$G$101,MATCH($A72,'Préstamos'!$A$2:$A$101,0))),INDEX('Préstamos'!$D$2:$D$101,MATCH($A72,'Préstamos'!$A$2:$A$101,0))-INDEX('Préstamos'!$J$2:$J$101,MATCH($A72,'Préstamos'!$A$2:$A$101,0))*(INDEX('Préstamos'!$G$2:$G$101,MATCH($A72,'Préstamos'!$A$2:$A$101,0))-1),INDEX('Préstamos'!$J$2:$J$101,MATCH($A72,'Préstamos'!$A$2:$A$101,0)))))</f>
        <v/>
      </c>
      <c r="G72" s="29">
        <f>IF($A72="","",IF(AND(D72&lt;&gt;"Solo interés",C72=INDEX('Préstamos'!$G$2:$G$101,MATCH($A72,'Préstamos'!$A$2:$A$101,0))),INDEX('Préstamos'!$I$2:$I$101,MATCH($A72,'Préstamos'!$A$2:$A$101,0))-INDEX('Préstamos'!$K$2:$K$101,MATCH($A72,'Préstamos'!$A$2:$A$101,0))*(INDEX('Préstamos'!$G$2:$G$101,MATCH($A72,'Préstamos'!$A$2:$A$101,0))-1),INDEX('Préstamos'!$K$2:$K$101,MATCH($A72,'Préstamos'!$A$2:$A$101,0))))</f>
        <v/>
      </c>
      <c r="H72" s="29">
        <f>IF($A72="","",F72+G72)</f>
        <v/>
      </c>
      <c r="I72" s="14" t="n"/>
      <c r="J72" s="33" t="n"/>
      <c r="K72" s="16">
        <f>IF(OR($A72="",I72="Pagado"),"",MAX(0,TODAY()-E72))</f>
        <v/>
      </c>
      <c r="L72" s="16">
        <f>IF($A72="","",IF(I72="Pagado","Pagado",IF(E72&lt;TODAY(),"Atrasado",IF(E72&lt;=EOMONTH(TODAY(),0),"Este mes","Pendiente"))))</f>
        <v/>
      </c>
      <c r="M72" s="20">
        <f>IF(OR($A72="",I72="Pagado"),"",HYPERLINK("https://wa.me/"&amp;IF(INDEX('Préstamos'!$C$2:$C$101,MATCH($A72,'Préstamos'!$A$2:$A$101,0))="","","51"&amp;SUBSTITUTE(INDEX('Préstamos'!$C$2:$C$101,MATCH($A72,'Préstamos'!$A$2:$A$101,0))," ",""))&amp;"?text="&amp;SUBSTITUTE("Hola "&amp;B72&amp;", te recuerdo que tu cuota de S/ "&amp;H72&amp;IF(E72&lt;TODAY()," vencio el "," vence el ")&amp;TEXT(E72,"dd/mm")&amp;". Gracias!"," ","%20"),"WhatsApp"))</f>
        <v/>
      </c>
    </row>
    <row r="73">
      <c r="A73" s="14" t="n"/>
      <c r="B73" s="16">
        <f>IF($A73="","",INDEX('Préstamos'!$B$2:$B$101,MATCH($A73,'Préstamos'!$A$2:$A$101,0)))</f>
        <v/>
      </c>
      <c r="C73" s="14" t="n"/>
      <c r="D73" s="14" t="n"/>
      <c r="E73" s="33" t="n"/>
      <c r="F73" s="29">
        <f>IF($A73="","",IF(D73="Solo interés",0,IF(AND(D73&lt;&gt;"Solo interés",C73=INDEX('Préstamos'!$G$2:$G$101,MATCH($A73,'Préstamos'!$A$2:$A$101,0))),INDEX('Préstamos'!$D$2:$D$101,MATCH($A73,'Préstamos'!$A$2:$A$101,0))-INDEX('Préstamos'!$J$2:$J$101,MATCH($A73,'Préstamos'!$A$2:$A$101,0))*(INDEX('Préstamos'!$G$2:$G$101,MATCH($A73,'Préstamos'!$A$2:$A$101,0))-1),INDEX('Préstamos'!$J$2:$J$101,MATCH($A73,'Préstamos'!$A$2:$A$101,0)))))</f>
        <v/>
      </c>
      <c r="G73" s="29">
        <f>IF($A73="","",IF(AND(D73&lt;&gt;"Solo interés",C73=INDEX('Préstamos'!$G$2:$G$101,MATCH($A73,'Préstamos'!$A$2:$A$101,0))),INDEX('Préstamos'!$I$2:$I$101,MATCH($A73,'Préstamos'!$A$2:$A$101,0))-INDEX('Préstamos'!$K$2:$K$101,MATCH($A73,'Préstamos'!$A$2:$A$101,0))*(INDEX('Préstamos'!$G$2:$G$101,MATCH($A73,'Préstamos'!$A$2:$A$101,0))-1),INDEX('Préstamos'!$K$2:$K$101,MATCH($A73,'Préstamos'!$A$2:$A$101,0))))</f>
        <v/>
      </c>
      <c r="H73" s="29">
        <f>IF($A73="","",F73+G73)</f>
        <v/>
      </c>
      <c r="I73" s="14" t="n"/>
      <c r="J73" s="33" t="n"/>
      <c r="K73" s="16">
        <f>IF(OR($A73="",I73="Pagado"),"",MAX(0,TODAY()-E73))</f>
        <v/>
      </c>
      <c r="L73" s="16">
        <f>IF($A73="","",IF(I73="Pagado","Pagado",IF(E73&lt;TODAY(),"Atrasado",IF(E73&lt;=EOMONTH(TODAY(),0),"Este mes","Pendiente"))))</f>
        <v/>
      </c>
      <c r="M73" s="20">
        <f>IF(OR($A73="",I73="Pagado"),"",HYPERLINK("https://wa.me/"&amp;IF(INDEX('Préstamos'!$C$2:$C$101,MATCH($A73,'Préstamos'!$A$2:$A$101,0))="","","51"&amp;SUBSTITUTE(INDEX('Préstamos'!$C$2:$C$101,MATCH($A73,'Préstamos'!$A$2:$A$101,0))," ",""))&amp;"?text="&amp;SUBSTITUTE("Hola "&amp;B73&amp;", te recuerdo que tu cuota de S/ "&amp;H73&amp;IF(E73&lt;TODAY()," vencio el "," vence el ")&amp;TEXT(E73,"dd/mm")&amp;". Gracias!"," ","%20"),"WhatsApp"))</f>
        <v/>
      </c>
    </row>
    <row r="74">
      <c r="A74" s="14" t="n"/>
      <c r="B74" s="16">
        <f>IF($A74="","",INDEX('Préstamos'!$B$2:$B$101,MATCH($A74,'Préstamos'!$A$2:$A$101,0)))</f>
        <v/>
      </c>
      <c r="C74" s="14" t="n"/>
      <c r="D74" s="14" t="n"/>
      <c r="E74" s="33" t="n"/>
      <c r="F74" s="29">
        <f>IF($A74="","",IF(D74="Solo interés",0,IF(AND(D74&lt;&gt;"Solo interés",C74=INDEX('Préstamos'!$G$2:$G$101,MATCH($A74,'Préstamos'!$A$2:$A$101,0))),INDEX('Préstamos'!$D$2:$D$101,MATCH($A74,'Préstamos'!$A$2:$A$101,0))-INDEX('Préstamos'!$J$2:$J$101,MATCH($A74,'Préstamos'!$A$2:$A$101,0))*(INDEX('Préstamos'!$G$2:$G$101,MATCH($A74,'Préstamos'!$A$2:$A$101,0))-1),INDEX('Préstamos'!$J$2:$J$101,MATCH($A74,'Préstamos'!$A$2:$A$101,0)))))</f>
        <v/>
      </c>
      <c r="G74" s="29">
        <f>IF($A74="","",IF(AND(D74&lt;&gt;"Solo interés",C74=INDEX('Préstamos'!$G$2:$G$101,MATCH($A74,'Préstamos'!$A$2:$A$101,0))),INDEX('Préstamos'!$I$2:$I$101,MATCH($A74,'Préstamos'!$A$2:$A$101,0))-INDEX('Préstamos'!$K$2:$K$101,MATCH($A74,'Préstamos'!$A$2:$A$101,0))*(INDEX('Préstamos'!$G$2:$G$101,MATCH($A74,'Préstamos'!$A$2:$A$101,0))-1),INDEX('Préstamos'!$K$2:$K$101,MATCH($A74,'Préstamos'!$A$2:$A$101,0))))</f>
        <v/>
      </c>
      <c r="H74" s="29">
        <f>IF($A74="","",F74+G74)</f>
        <v/>
      </c>
      <c r="I74" s="14" t="n"/>
      <c r="J74" s="33" t="n"/>
      <c r="K74" s="16">
        <f>IF(OR($A74="",I74="Pagado"),"",MAX(0,TODAY()-E74))</f>
        <v/>
      </c>
      <c r="L74" s="16">
        <f>IF($A74="","",IF(I74="Pagado","Pagado",IF(E74&lt;TODAY(),"Atrasado",IF(E74&lt;=EOMONTH(TODAY(),0),"Este mes","Pendiente"))))</f>
        <v/>
      </c>
      <c r="M74" s="20">
        <f>IF(OR($A74="",I74="Pagado"),"",HYPERLINK("https://wa.me/"&amp;IF(INDEX('Préstamos'!$C$2:$C$101,MATCH($A74,'Préstamos'!$A$2:$A$101,0))="","","51"&amp;SUBSTITUTE(INDEX('Préstamos'!$C$2:$C$101,MATCH($A74,'Préstamos'!$A$2:$A$101,0))," ",""))&amp;"?text="&amp;SUBSTITUTE("Hola "&amp;B74&amp;", te recuerdo que tu cuota de S/ "&amp;H74&amp;IF(E74&lt;TODAY()," vencio el "," vence el ")&amp;TEXT(E74,"dd/mm")&amp;". Gracias!"," ","%20"),"WhatsApp"))</f>
        <v/>
      </c>
    </row>
    <row r="75">
      <c r="A75" s="14" t="n"/>
      <c r="B75" s="16">
        <f>IF($A75="","",INDEX('Préstamos'!$B$2:$B$101,MATCH($A75,'Préstamos'!$A$2:$A$101,0)))</f>
        <v/>
      </c>
      <c r="C75" s="14" t="n"/>
      <c r="D75" s="14" t="n"/>
      <c r="E75" s="33" t="n"/>
      <c r="F75" s="29">
        <f>IF($A75="","",IF(D75="Solo interés",0,IF(AND(D75&lt;&gt;"Solo interés",C75=INDEX('Préstamos'!$G$2:$G$101,MATCH($A75,'Préstamos'!$A$2:$A$101,0))),INDEX('Préstamos'!$D$2:$D$101,MATCH($A75,'Préstamos'!$A$2:$A$101,0))-INDEX('Préstamos'!$J$2:$J$101,MATCH($A75,'Préstamos'!$A$2:$A$101,0))*(INDEX('Préstamos'!$G$2:$G$101,MATCH($A75,'Préstamos'!$A$2:$A$101,0))-1),INDEX('Préstamos'!$J$2:$J$101,MATCH($A75,'Préstamos'!$A$2:$A$101,0)))))</f>
        <v/>
      </c>
      <c r="G75" s="29">
        <f>IF($A75="","",IF(AND(D75&lt;&gt;"Solo interés",C75=INDEX('Préstamos'!$G$2:$G$101,MATCH($A75,'Préstamos'!$A$2:$A$101,0))),INDEX('Préstamos'!$I$2:$I$101,MATCH($A75,'Préstamos'!$A$2:$A$101,0))-INDEX('Préstamos'!$K$2:$K$101,MATCH($A75,'Préstamos'!$A$2:$A$101,0))*(INDEX('Préstamos'!$G$2:$G$101,MATCH($A75,'Préstamos'!$A$2:$A$101,0))-1),INDEX('Préstamos'!$K$2:$K$101,MATCH($A75,'Préstamos'!$A$2:$A$101,0))))</f>
        <v/>
      </c>
      <c r="H75" s="29">
        <f>IF($A75="","",F75+G75)</f>
        <v/>
      </c>
      <c r="I75" s="14" t="n"/>
      <c r="J75" s="33" t="n"/>
      <c r="K75" s="16">
        <f>IF(OR($A75="",I75="Pagado"),"",MAX(0,TODAY()-E75))</f>
        <v/>
      </c>
      <c r="L75" s="16">
        <f>IF($A75="","",IF(I75="Pagado","Pagado",IF(E75&lt;TODAY(),"Atrasado",IF(E75&lt;=EOMONTH(TODAY(),0),"Este mes","Pendiente"))))</f>
        <v/>
      </c>
      <c r="M75" s="20">
        <f>IF(OR($A75="",I75="Pagado"),"",HYPERLINK("https://wa.me/"&amp;IF(INDEX('Préstamos'!$C$2:$C$101,MATCH($A75,'Préstamos'!$A$2:$A$101,0))="","","51"&amp;SUBSTITUTE(INDEX('Préstamos'!$C$2:$C$101,MATCH($A75,'Préstamos'!$A$2:$A$101,0))," ",""))&amp;"?text="&amp;SUBSTITUTE("Hola "&amp;B75&amp;", te recuerdo que tu cuota de S/ "&amp;H75&amp;IF(E75&lt;TODAY()," vencio el "," vence el ")&amp;TEXT(E75,"dd/mm")&amp;". Gracias!"," ","%20"),"WhatsApp"))</f>
        <v/>
      </c>
    </row>
    <row r="76">
      <c r="A76" s="14" t="n"/>
      <c r="B76" s="16">
        <f>IF($A76="","",INDEX('Préstamos'!$B$2:$B$101,MATCH($A76,'Préstamos'!$A$2:$A$101,0)))</f>
        <v/>
      </c>
      <c r="C76" s="14" t="n"/>
      <c r="D76" s="14" t="n"/>
      <c r="E76" s="33" t="n"/>
      <c r="F76" s="29">
        <f>IF($A76="","",IF(D76="Solo interés",0,IF(AND(D76&lt;&gt;"Solo interés",C76=INDEX('Préstamos'!$G$2:$G$101,MATCH($A76,'Préstamos'!$A$2:$A$101,0))),INDEX('Préstamos'!$D$2:$D$101,MATCH($A76,'Préstamos'!$A$2:$A$101,0))-INDEX('Préstamos'!$J$2:$J$101,MATCH($A76,'Préstamos'!$A$2:$A$101,0))*(INDEX('Préstamos'!$G$2:$G$101,MATCH($A76,'Préstamos'!$A$2:$A$101,0))-1),INDEX('Préstamos'!$J$2:$J$101,MATCH($A76,'Préstamos'!$A$2:$A$101,0)))))</f>
        <v/>
      </c>
      <c r="G76" s="29">
        <f>IF($A76="","",IF(AND(D76&lt;&gt;"Solo interés",C76=INDEX('Préstamos'!$G$2:$G$101,MATCH($A76,'Préstamos'!$A$2:$A$101,0))),INDEX('Préstamos'!$I$2:$I$101,MATCH($A76,'Préstamos'!$A$2:$A$101,0))-INDEX('Préstamos'!$K$2:$K$101,MATCH($A76,'Préstamos'!$A$2:$A$101,0))*(INDEX('Préstamos'!$G$2:$G$101,MATCH($A76,'Préstamos'!$A$2:$A$101,0))-1),INDEX('Préstamos'!$K$2:$K$101,MATCH($A76,'Préstamos'!$A$2:$A$101,0))))</f>
        <v/>
      </c>
      <c r="H76" s="29">
        <f>IF($A76="","",F76+G76)</f>
        <v/>
      </c>
      <c r="I76" s="14" t="n"/>
      <c r="J76" s="33" t="n"/>
      <c r="K76" s="16">
        <f>IF(OR($A76="",I76="Pagado"),"",MAX(0,TODAY()-E76))</f>
        <v/>
      </c>
      <c r="L76" s="16">
        <f>IF($A76="","",IF(I76="Pagado","Pagado",IF(E76&lt;TODAY(),"Atrasado",IF(E76&lt;=EOMONTH(TODAY(),0),"Este mes","Pendiente"))))</f>
        <v/>
      </c>
      <c r="M76" s="20">
        <f>IF(OR($A76="",I76="Pagado"),"",HYPERLINK("https://wa.me/"&amp;IF(INDEX('Préstamos'!$C$2:$C$101,MATCH($A76,'Préstamos'!$A$2:$A$101,0))="","","51"&amp;SUBSTITUTE(INDEX('Préstamos'!$C$2:$C$101,MATCH($A76,'Préstamos'!$A$2:$A$101,0))," ",""))&amp;"?text="&amp;SUBSTITUTE("Hola "&amp;B76&amp;", te recuerdo que tu cuota de S/ "&amp;H76&amp;IF(E76&lt;TODAY()," vencio el "," vence el ")&amp;TEXT(E76,"dd/mm")&amp;". Gracias!"," ","%20"),"WhatsApp"))</f>
        <v/>
      </c>
    </row>
    <row r="77">
      <c r="A77" s="14" t="n"/>
      <c r="B77" s="16">
        <f>IF($A77="","",INDEX('Préstamos'!$B$2:$B$101,MATCH($A77,'Préstamos'!$A$2:$A$101,0)))</f>
        <v/>
      </c>
      <c r="C77" s="14" t="n"/>
      <c r="D77" s="14" t="n"/>
      <c r="E77" s="33" t="n"/>
      <c r="F77" s="29">
        <f>IF($A77="","",IF(D77="Solo interés",0,IF(AND(D77&lt;&gt;"Solo interés",C77=INDEX('Préstamos'!$G$2:$G$101,MATCH($A77,'Préstamos'!$A$2:$A$101,0))),INDEX('Préstamos'!$D$2:$D$101,MATCH($A77,'Préstamos'!$A$2:$A$101,0))-INDEX('Préstamos'!$J$2:$J$101,MATCH($A77,'Préstamos'!$A$2:$A$101,0))*(INDEX('Préstamos'!$G$2:$G$101,MATCH($A77,'Préstamos'!$A$2:$A$101,0))-1),INDEX('Préstamos'!$J$2:$J$101,MATCH($A77,'Préstamos'!$A$2:$A$101,0)))))</f>
        <v/>
      </c>
      <c r="G77" s="29">
        <f>IF($A77="","",IF(AND(D77&lt;&gt;"Solo interés",C77=INDEX('Préstamos'!$G$2:$G$101,MATCH($A77,'Préstamos'!$A$2:$A$101,0))),INDEX('Préstamos'!$I$2:$I$101,MATCH($A77,'Préstamos'!$A$2:$A$101,0))-INDEX('Préstamos'!$K$2:$K$101,MATCH($A77,'Préstamos'!$A$2:$A$101,0))*(INDEX('Préstamos'!$G$2:$G$101,MATCH($A77,'Préstamos'!$A$2:$A$101,0))-1),INDEX('Préstamos'!$K$2:$K$101,MATCH($A77,'Préstamos'!$A$2:$A$101,0))))</f>
        <v/>
      </c>
      <c r="H77" s="29">
        <f>IF($A77="","",F77+G77)</f>
        <v/>
      </c>
      <c r="I77" s="14" t="n"/>
      <c r="J77" s="33" t="n"/>
      <c r="K77" s="16">
        <f>IF(OR($A77="",I77="Pagado"),"",MAX(0,TODAY()-E77))</f>
        <v/>
      </c>
      <c r="L77" s="16">
        <f>IF($A77="","",IF(I77="Pagado","Pagado",IF(E77&lt;TODAY(),"Atrasado",IF(E77&lt;=EOMONTH(TODAY(),0),"Este mes","Pendiente"))))</f>
        <v/>
      </c>
      <c r="M77" s="20">
        <f>IF(OR($A77="",I77="Pagado"),"",HYPERLINK("https://wa.me/"&amp;IF(INDEX('Préstamos'!$C$2:$C$101,MATCH($A77,'Préstamos'!$A$2:$A$101,0))="","","51"&amp;SUBSTITUTE(INDEX('Préstamos'!$C$2:$C$101,MATCH($A77,'Préstamos'!$A$2:$A$101,0))," ",""))&amp;"?text="&amp;SUBSTITUTE("Hola "&amp;B77&amp;", te recuerdo que tu cuota de S/ "&amp;H77&amp;IF(E77&lt;TODAY()," vencio el "," vence el ")&amp;TEXT(E77,"dd/mm")&amp;". Gracias!"," ","%20"),"WhatsApp"))</f>
        <v/>
      </c>
    </row>
    <row r="78">
      <c r="A78" s="14" t="n"/>
      <c r="B78" s="16">
        <f>IF($A78="","",INDEX('Préstamos'!$B$2:$B$101,MATCH($A78,'Préstamos'!$A$2:$A$101,0)))</f>
        <v/>
      </c>
      <c r="C78" s="14" t="n"/>
      <c r="D78" s="14" t="n"/>
      <c r="E78" s="33" t="n"/>
      <c r="F78" s="29">
        <f>IF($A78="","",IF(D78="Solo interés",0,IF(AND(D78&lt;&gt;"Solo interés",C78=INDEX('Préstamos'!$G$2:$G$101,MATCH($A78,'Préstamos'!$A$2:$A$101,0))),INDEX('Préstamos'!$D$2:$D$101,MATCH($A78,'Préstamos'!$A$2:$A$101,0))-INDEX('Préstamos'!$J$2:$J$101,MATCH($A78,'Préstamos'!$A$2:$A$101,0))*(INDEX('Préstamos'!$G$2:$G$101,MATCH($A78,'Préstamos'!$A$2:$A$101,0))-1),INDEX('Préstamos'!$J$2:$J$101,MATCH($A78,'Préstamos'!$A$2:$A$101,0)))))</f>
        <v/>
      </c>
      <c r="G78" s="29">
        <f>IF($A78="","",IF(AND(D78&lt;&gt;"Solo interés",C78=INDEX('Préstamos'!$G$2:$G$101,MATCH($A78,'Préstamos'!$A$2:$A$101,0))),INDEX('Préstamos'!$I$2:$I$101,MATCH($A78,'Préstamos'!$A$2:$A$101,0))-INDEX('Préstamos'!$K$2:$K$101,MATCH($A78,'Préstamos'!$A$2:$A$101,0))*(INDEX('Préstamos'!$G$2:$G$101,MATCH($A78,'Préstamos'!$A$2:$A$101,0))-1),INDEX('Préstamos'!$K$2:$K$101,MATCH($A78,'Préstamos'!$A$2:$A$101,0))))</f>
        <v/>
      </c>
      <c r="H78" s="29">
        <f>IF($A78="","",F78+G78)</f>
        <v/>
      </c>
      <c r="I78" s="14" t="n"/>
      <c r="J78" s="33" t="n"/>
      <c r="K78" s="16">
        <f>IF(OR($A78="",I78="Pagado"),"",MAX(0,TODAY()-E78))</f>
        <v/>
      </c>
      <c r="L78" s="16">
        <f>IF($A78="","",IF(I78="Pagado","Pagado",IF(E78&lt;TODAY(),"Atrasado",IF(E78&lt;=EOMONTH(TODAY(),0),"Este mes","Pendiente"))))</f>
        <v/>
      </c>
      <c r="M78" s="20">
        <f>IF(OR($A78="",I78="Pagado"),"",HYPERLINK("https://wa.me/"&amp;IF(INDEX('Préstamos'!$C$2:$C$101,MATCH($A78,'Préstamos'!$A$2:$A$101,0))="","","51"&amp;SUBSTITUTE(INDEX('Préstamos'!$C$2:$C$101,MATCH($A78,'Préstamos'!$A$2:$A$101,0))," ",""))&amp;"?text="&amp;SUBSTITUTE("Hola "&amp;B78&amp;", te recuerdo que tu cuota de S/ "&amp;H78&amp;IF(E78&lt;TODAY()," vencio el "," vence el ")&amp;TEXT(E78,"dd/mm")&amp;". Gracias!"," ","%20"),"WhatsApp"))</f>
        <v/>
      </c>
    </row>
    <row r="79">
      <c r="A79" s="14" t="n"/>
      <c r="B79" s="16">
        <f>IF($A79="","",INDEX('Préstamos'!$B$2:$B$101,MATCH($A79,'Préstamos'!$A$2:$A$101,0)))</f>
        <v/>
      </c>
      <c r="C79" s="14" t="n"/>
      <c r="D79" s="14" t="n"/>
      <c r="E79" s="33" t="n"/>
      <c r="F79" s="29">
        <f>IF($A79="","",IF(D79="Solo interés",0,IF(AND(D79&lt;&gt;"Solo interés",C79=INDEX('Préstamos'!$G$2:$G$101,MATCH($A79,'Préstamos'!$A$2:$A$101,0))),INDEX('Préstamos'!$D$2:$D$101,MATCH($A79,'Préstamos'!$A$2:$A$101,0))-INDEX('Préstamos'!$J$2:$J$101,MATCH($A79,'Préstamos'!$A$2:$A$101,0))*(INDEX('Préstamos'!$G$2:$G$101,MATCH($A79,'Préstamos'!$A$2:$A$101,0))-1),INDEX('Préstamos'!$J$2:$J$101,MATCH($A79,'Préstamos'!$A$2:$A$101,0)))))</f>
        <v/>
      </c>
      <c r="G79" s="29">
        <f>IF($A79="","",IF(AND(D79&lt;&gt;"Solo interés",C79=INDEX('Préstamos'!$G$2:$G$101,MATCH($A79,'Préstamos'!$A$2:$A$101,0))),INDEX('Préstamos'!$I$2:$I$101,MATCH($A79,'Préstamos'!$A$2:$A$101,0))-INDEX('Préstamos'!$K$2:$K$101,MATCH($A79,'Préstamos'!$A$2:$A$101,0))*(INDEX('Préstamos'!$G$2:$G$101,MATCH($A79,'Préstamos'!$A$2:$A$101,0))-1),INDEX('Préstamos'!$K$2:$K$101,MATCH($A79,'Préstamos'!$A$2:$A$101,0))))</f>
        <v/>
      </c>
      <c r="H79" s="29">
        <f>IF($A79="","",F79+G79)</f>
        <v/>
      </c>
      <c r="I79" s="14" t="n"/>
      <c r="J79" s="33" t="n"/>
      <c r="K79" s="16">
        <f>IF(OR($A79="",I79="Pagado"),"",MAX(0,TODAY()-E79))</f>
        <v/>
      </c>
      <c r="L79" s="16">
        <f>IF($A79="","",IF(I79="Pagado","Pagado",IF(E79&lt;TODAY(),"Atrasado",IF(E79&lt;=EOMONTH(TODAY(),0),"Este mes","Pendiente"))))</f>
        <v/>
      </c>
      <c r="M79" s="20">
        <f>IF(OR($A79="",I79="Pagado"),"",HYPERLINK("https://wa.me/"&amp;IF(INDEX('Préstamos'!$C$2:$C$101,MATCH($A79,'Préstamos'!$A$2:$A$101,0))="","","51"&amp;SUBSTITUTE(INDEX('Préstamos'!$C$2:$C$101,MATCH($A79,'Préstamos'!$A$2:$A$101,0))," ",""))&amp;"?text="&amp;SUBSTITUTE("Hola "&amp;B79&amp;", te recuerdo que tu cuota de S/ "&amp;H79&amp;IF(E79&lt;TODAY()," vencio el "," vence el ")&amp;TEXT(E79,"dd/mm")&amp;". Gracias!"," ","%20"),"WhatsApp"))</f>
        <v/>
      </c>
    </row>
    <row r="80">
      <c r="A80" s="14" t="n"/>
      <c r="B80" s="16">
        <f>IF($A80="","",INDEX('Préstamos'!$B$2:$B$101,MATCH($A80,'Préstamos'!$A$2:$A$101,0)))</f>
        <v/>
      </c>
      <c r="C80" s="14" t="n"/>
      <c r="D80" s="14" t="n"/>
      <c r="E80" s="33" t="n"/>
      <c r="F80" s="29">
        <f>IF($A80="","",IF(D80="Solo interés",0,IF(AND(D80&lt;&gt;"Solo interés",C80=INDEX('Préstamos'!$G$2:$G$101,MATCH($A80,'Préstamos'!$A$2:$A$101,0))),INDEX('Préstamos'!$D$2:$D$101,MATCH($A80,'Préstamos'!$A$2:$A$101,0))-INDEX('Préstamos'!$J$2:$J$101,MATCH($A80,'Préstamos'!$A$2:$A$101,0))*(INDEX('Préstamos'!$G$2:$G$101,MATCH($A80,'Préstamos'!$A$2:$A$101,0))-1),INDEX('Préstamos'!$J$2:$J$101,MATCH($A80,'Préstamos'!$A$2:$A$101,0)))))</f>
        <v/>
      </c>
      <c r="G80" s="29">
        <f>IF($A80="","",IF(AND(D80&lt;&gt;"Solo interés",C80=INDEX('Préstamos'!$G$2:$G$101,MATCH($A80,'Préstamos'!$A$2:$A$101,0))),INDEX('Préstamos'!$I$2:$I$101,MATCH($A80,'Préstamos'!$A$2:$A$101,0))-INDEX('Préstamos'!$K$2:$K$101,MATCH($A80,'Préstamos'!$A$2:$A$101,0))*(INDEX('Préstamos'!$G$2:$G$101,MATCH($A80,'Préstamos'!$A$2:$A$101,0))-1),INDEX('Préstamos'!$K$2:$K$101,MATCH($A80,'Préstamos'!$A$2:$A$101,0))))</f>
        <v/>
      </c>
      <c r="H80" s="29">
        <f>IF($A80="","",F80+G80)</f>
        <v/>
      </c>
      <c r="I80" s="14" t="n"/>
      <c r="J80" s="33" t="n"/>
      <c r="K80" s="16">
        <f>IF(OR($A80="",I80="Pagado"),"",MAX(0,TODAY()-E80))</f>
        <v/>
      </c>
      <c r="L80" s="16">
        <f>IF($A80="","",IF(I80="Pagado","Pagado",IF(E80&lt;TODAY(),"Atrasado",IF(E80&lt;=EOMONTH(TODAY(),0),"Este mes","Pendiente"))))</f>
        <v/>
      </c>
      <c r="M80" s="20">
        <f>IF(OR($A80="",I80="Pagado"),"",HYPERLINK("https://wa.me/"&amp;IF(INDEX('Préstamos'!$C$2:$C$101,MATCH($A80,'Préstamos'!$A$2:$A$101,0))="","","51"&amp;SUBSTITUTE(INDEX('Préstamos'!$C$2:$C$101,MATCH($A80,'Préstamos'!$A$2:$A$101,0))," ",""))&amp;"?text="&amp;SUBSTITUTE("Hola "&amp;B80&amp;", te recuerdo que tu cuota de S/ "&amp;H80&amp;IF(E80&lt;TODAY()," vencio el "," vence el ")&amp;TEXT(E80,"dd/mm")&amp;". Gracias!"," ","%20"),"WhatsApp"))</f>
        <v/>
      </c>
    </row>
    <row r="81">
      <c r="A81" s="14" t="n"/>
      <c r="B81" s="16">
        <f>IF($A81="","",INDEX('Préstamos'!$B$2:$B$101,MATCH($A81,'Préstamos'!$A$2:$A$101,0)))</f>
        <v/>
      </c>
      <c r="C81" s="14" t="n"/>
      <c r="D81" s="14" t="n"/>
      <c r="E81" s="33" t="n"/>
      <c r="F81" s="29">
        <f>IF($A81="","",IF(D81="Solo interés",0,IF(AND(D81&lt;&gt;"Solo interés",C81=INDEX('Préstamos'!$G$2:$G$101,MATCH($A81,'Préstamos'!$A$2:$A$101,0))),INDEX('Préstamos'!$D$2:$D$101,MATCH($A81,'Préstamos'!$A$2:$A$101,0))-INDEX('Préstamos'!$J$2:$J$101,MATCH($A81,'Préstamos'!$A$2:$A$101,0))*(INDEX('Préstamos'!$G$2:$G$101,MATCH($A81,'Préstamos'!$A$2:$A$101,0))-1),INDEX('Préstamos'!$J$2:$J$101,MATCH($A81,'Préstamos'!$A$2:$A$101,0)))))</f>
        <v/>
      </c>
      <c r="G81" s="29">
        <f>IF($A81="","",IF(AND(D81&lt;&gt;"Solo interés",C81=INDEX('Préstamos'!$G$2:$G$101,MATCH($A81,'Préstamos'!$A$2:$A$101,0))),INDEX('Préstamos'!$I$2:$I$101,MATCH($A81,'Préstamos'!$A$2:$A$101,0))-INDEX('Préstamos'!$K$2:$K$101,MATCH($A81,'Préstamos'!$A$2:$A$101,0))*(INDEX('Préstamos'!$G$2:$G$101,MATCH($A81,'Préstamos'!$A$2:$A$101,0))-1),INDEX('Préstamos'!$K$2:$K$101,MATCH($A81,'Préstamos'!$A$2:$A$101,0))))</f>
        <v/>
      </c>
      <c r="H81" s="29">
        <f>IF($A81="","",F81+G81)</f>
        <v/>
      </c>
      <c r="I81" s="14" t="n"/>
      <c r="J81" s="33" t="n"/>
      <c r="K81" s="16">
        <f>IF(OR($A81="",I81="Pagado"),"",MAX(0,TODAY()-E81))</f>
        <v/>
      </c>
      <c r="L81" s="16">
        <f>IF($A81="","",IF(I81="Pagado","Pagado",IF(E81&lt;TODAY(),"Atrasado",IF(E81&lt;=EOMONTH(TODAY(),0),"Este mes","Pendiente"))))</f>
        <v/>
      </c>
      <c r="M81" s="20">
        <f>IF(OR($A81="",I81="Pagado"),"",HYPERLINK("https://wa.me/"&amp;IF(INDEX('Préstamos'!$C$2:$C$101,MATCH($A81,'Préstamos'!$A$2:$A$101,0))="","","51"&amp;SUBSTITUTE(INDEX('Préstamos'!$C$2:$C$101,MATCH($A81,'Préstamos'!$A$2:$A$101,0))," ",""))&amp;"?text="&amp;SUBSTITUTE("Hola "&amp;B81&amp;", te recuerdo que tu cuota de S/ "&amp;H81&amp;IF(E81&lt;TODAY()," vencio el "," vence el ")&amp;TEXT(E81,"dd/mm")&amp;". Gracias!"," ","%20"),"WhatsApp"))</f>
        <v/>
      </c>
    </row>
    <row r="82">
      <c r="A82" s="14" t="n"/>
      <c r="B82" s="16">
        <f>IF($A82="","",INDEX('Préstamos'!$B$2:$B$101,MATCH($A82,'Préstamos'!$A$2:$A$101,0)))</f>
        <v/>
      </c>
      <c r="C82" s="14" t="n"/>
      <c r="D82" s="14" t="n"/>
      <c r="E82" s="33" t="n"/>
      <c r="F82" s="29">
        <f>IF($A82="","",IF(D82="Solo interés",0,IF(AND(D82&lt;&gt;"Solo interés",C82=INDEX('Préstamos'!$G$2:$G$101,MATCH($A82,'Préstamos'!$A$2:$A$101,0))),INDEX('Préstamos'!$D$2:$D$101,MATCH($A82,'Préstamos'!$A$2:$A$101,0))-INDEX('Préstamos'!$J$2:$J$101,MATCH($A82,'Préstamos'!$A$2:$A$101,0))*(INDEX('Préstamos'!$G$2:$G$101,MATCH($A82,'Préstamos'!$A$2:$A$101,0))-1),INDEX('Préstamos'!$J$2:$J$101,MATCH($A82,'Préstamos'!$A$2:$A$101,0)))))</f>
        <v/>
      </c>
      <c r="G82" s="29">
        <f>IF($A82="","",IF(AND(D82&lt;&gt;"Solo interés",C82=INDEX('Préstamos'!$G$2:$G$101,MATCH($A82,'Préstamos'!$A$2:$A$101,0))),INDEX('Préstamos'!$I$2:$I$101,MATCH($A82,'Préstamos'!$A$2:$A$101,0))-INDEX('Préstamos'!$K$2:$K$101,MATCH($A82,'Préstamos'!$A$2:$A$101,0))*(INDEX('Préstamos'!$G$2:$G$101,MATCH($A82,'Préstamos'!$A$2:$A$101,0))-1),INDEX('Préstamos'!$K$2:$K$101,MATCH($A82,'Préstamos'!$A$2:$A$101,0))))</f>
        <v/>
      </c>
      <c r="H82" s="29">
        <f>IF($A82="","",F82+G82)</f>
        <v/>
      </c>
      <c r="I82" s="14" t="n"/>
      <c r="J82" s="33" t="n"/>
      <c r="K82" s="16">
        <f>IF(OR($A82="",I82="Pagado"),"",MAX(0,TODAY()-E82))</f>
        <v/>
      </c>
      <c r="L82" s="16">
        <f>IF($A82="","",IF(I82="Pagado","Pagado",IF(E82&lt;TODAY(),"Atrasado",IF(E82&lt;=EOMONTH(TODAY(),0),"Este mes","Pendiente"))))</f>
        <v/>
      </c>
      <c r="M82" s="20">
        <f>IF(OR($A82="",I82="Pagado"),"",HYPERLINK("https://wa.me/"&amp;IF(INDEX('Préstamos'!$C$2:$C$101,MATCH($A82,'Préstamos'!$A$2:$A$101,0))="","","51"&amp;SUBSTITUTE(INDEX('Préstamos'!$C$2:$C$101,MATCH($A82,'Préstamos'!$A$2:$A$101,0))," ",""))&amp;"?text="&amp;SUBSTITUTE("Hola "&amp;B82&amp;", te recuerdo que tu cuota de S/ "&amp;H82&amp;IF(E82&lt;TODAY()," vencio el "," vence el ")&amp;TEXT(E82,"dd/mm")&amp;". Gracias!"," ","%20"),"WhatsApp"))</f>
        <v/>
      </c>
    </row>
    <row r="83">
      <c r="A83" s="14" t="n"/>
      <c r="B83" s="16">
        <f>IF($A83="","",INDEX('Préstamos'!$B$2:$B$101,MATCH($A83,'Préstamos'!$A$2:$A$101,0)))</f>
        <v/>
      </c>
      <c r="C83" s="14" t="n"/>
      <c r="D83" s="14" t="n"/>
      <c r="E83" s="33" t="n"/>
      <c r="F83" s="29">
        <f>IF($A83="","",IF(D83="Solo interés",0,IF(AND(D83&lt;&gt;"Solo interés",C83=INDEX('Préstamos'!$G$2:$G$101,MATCH($A83,'Préstamos'!$A$2:$A$101,0))),INDEX('Préstamos'!$D$2:$D$101,MATCH($A83,'Préstamos'!$A$2:$A$101,0))-INDEX('Préstamos'!$J$2:$J$101,MATCH($A83,'Préstamos'!$A$2:$A$101,0))*(INDEX('Préstamos'!$G$2:$G$101,MATCH($A83,'Préstamos'!$A$2:$A$101,0))-1),INDEX('Préstamos'!$J$2:$J$101,MATCH($A83,'Préstamos'!$A$2:$A$101,0)))))</f>
        <v/>
      </c>
      <c r="G83" s="29">
        <f>IF($A83="","",IF(AND(D83&lt;&gt;"Solo interés",C83=INDEX('Préstamos'!$G$2:$G$101,MATCH($A83,'Préstamos'!$A$2:$A$101,0))),INDEX('Préstamos'!$I$2:$I$101,MATCH($A83,'Préstamos'!$A$2:$A$101,0))-INDEX('Préstamos'!$K$2:$K$101,MATCH($A83,'Préstamos'!$A$2:$A$101,0))*(INDEX('Préstamos'!$G$2:$G$101,MATCH($A83,'Préstamos'!$A$2:$A$101,0))-1),INDEX('Préstamos'!$K$2:$K$101,MATCH($A83,'Préstamos'!$A$2:$A$101,0))))</f>
        <v/>
      </c>
      <c r="H83" s="29">
        <f>IF($A83="","",F83+G83)</f>
        <v/>
      </c>
      <c r="I83" s="14" t="n"/>
      <c r="J83" s="33" t="n"/>
      <c r="K83" s="16">
        <f>IF(OR($A83="",I83="Pagado"),"",MAX(0,TODAY()-E83))</f>
        <v/>
      </c>
      <c r="L83" s="16">
        <f>IF($A83="","",IF(I83="Pagado","Pagado",IF(E83&lt;TODAY(),"Atrasado",IF(E83&lt;=EOMONTH(TODAY(),0),"Este mes","Pendiente"))))</f>
        <v/>
      </c>
      <c r="M83" s="20">
        <f>IF(OR($A83="",I83="Pagado"),"",HYPERLINK("https://wa.me/"&amp;IF(INDEX('Préstamos'!$C$2:$C$101,MATCH($A83,'Préstamos'!$A$2:$A$101,0))="","","51"&amp;SUBSTITUTE(INDEX('Préstamos'!$C$2:$C$101,MATCH($A83,'Préstamos'!$A$2:$A$101,0))," ",""))&amp;"?text="&amp;SUBSTITUTE("Hola "&amp;B83&amp;", te recuerdo que tu cuota de S/ "&amp;H83&amp;IF(E83&lt;TODAY()," vencio el "," vence el ")&amp;TEXT(E83,"dd/mm")&amp;". Gracias!"," ","%20"),"WhatsApp"))</f>
        <v/>
      </c>
    </row>
    <row r="84">
      <c r="A84" s="14" t="n"/>
      <c r="B84" s="16">
        <f>IF($A84="","",INDEX('Préstamos'!$B$2:$B$101,MATCH($A84,'Préstamos'!$A$2:$A$101,0)))</f>
        <v/>
      </c>
      <c r="C84" s="14" t="n"/>
      <c r="D84" s="14" t="n"/>
      <c r="E84" s="33" t="n"/>
      <c r="F84" s="29">
        <f>IF($A84="","",IF(D84="Solo interés",0,IF(AND(D84&lt;&gt;"Solo interés",C84=INDEX('Préstamos'!$G$2:$G$101,MATCH($A84,'Préstamos'!$A$2:$A$101,0))),INDEX('Préstamos'!$D$2:$D$101,MATCH($A84,'Préstamos'!$A$2:$A$101,0))-INDEX('Préstamos'!$J$2:$J$101,MATCH($A84,'Préstamos'!$A$2:$A$101,0))*(INDEX('Préstamos'!$G$2:$G$101,MATCH($A84,'Préstamos'!$A$2:$A$101,0))-1),INDEX('Préstamos'!$J$2:$J$101,MATCH($A84,'Préstamos'!$A$2:$A$101,0)))))</f>
        <v/>
      </c>
      <c r="G84" s="29">
        <f>IF($A84="","",IF(AND(D84&lt;&gt;"Solo interés",C84=INDEX('Préstamos'!$G$2:$G$101,MATCH($A84,'Préstamos'!$A$2:$A$101,0))),INDEX('Préstamos'!$I$2:$I$101,MATCH($A84,'Préstamos'!$A$2:$A$101,0))-INDEX('Préstamos'!$K$2:$K$101,MATCH($A84,'Préstamos'!$A$2:$A$101,0))*(INDEX('Préstamos'!$G$2:$G$101,MATCH($A84,'Préstamos'!$A$2:$A$101,0))-1),INDEX('Préstamos'!$K$2:$K$101,MATCH($A84,'Préstamos'!$A$2:$A$101,0))))</f>
        <v/>
      </c>
      <c r="H84" s="29">
        <f>IF($A84="","",F84+G84)</f>
        <v/>
      </c>
      <c r="I84" s="14" t="n"/>
      <c r="J84" s="33" t="n"/>
      <c r="K84" s="16">
        <f>IF(OR($A84="",I84="Pagado"),"",MAX(0,TODAY()-E84))</f>
        <v/>
      </c>
      <c r="L84" s="16">
        <f>IF($A84="","",IF(I84="Pagado","Pagado",IF(E84&lt;TODAY(),"Atrasado",IF(E84&lt;=EOMONTH(TODAY(),0),"Este mes","Pendiente"))))</f>
        <v/>
      </c>
      <c r="M84" s="20">
        <f>IF(OR($A84="",I84="Pagado"),"",HYPERLINK("https://wa.me/"&amp;IF(INDEX('Préstamos'!$C$2:$C$101,MATCH($A84,'Préstamos'!$A$2:$A$101,0))="","","51"&amp;SUBSTITUTE(INDEX('Préstamos'!$C$2:$C$101,MATCH($A84,'Préstamos'!$A$2:$A$101,0))," ",""))&amp;"?text="&amp;SUBSTITUTE("Hola "&amp;B84&amp;", te recuerdo que tu cuota de S/ "&amp;H84&amp;IF(E84&lt;TODAY()," vencio el "," vence el ")&amp;TEXT(E84,"dd/mm")&amp;". Gracias!"," ","%20"),"WhatsApp"))</f>
        <v/>
      </c>
    </row>
    <row r="85">
      <c r="A85" s="14" t="n"/>
      <c r="B85" s="16">
        <f>IF($A85="","",INDEX('Préstamos'!$B$2:$B$101,MATCH($A85,'Préstamos'!$A$2:$A$101,0)))</f>
        <v/>
      </c>
      <c r="C85" s="14" t="n"/>
      <c r="D85" s="14" t="n"/>
      <c r="E85" s="33" t="n"/>
      <c r="F85" s="29">
        <f>IF($A85="","",IF(D85="Solo interés",0,IF(AND(D85&lt;&gt;"Solo interés",C85=INDEX('Préstamos'!$G$2:$G$101,MATCH($A85,'Préstamos'!$A$2:$A$101,0))),INDEX('Préstamos'!$D$2:$D$101,MATCH($A85,'Préstamos'!$A$2:$A$101,0))-INDEX('Préstamos'!$J$2:$J$101,MATCH($A85,'Préstamos'!$A$2:$A$101,0))*(INDEX('Préstamos'!$G$2:$G$101,MATCH($A85,'Préstamos'!$A$2:$A$101,0))-1),INDEX('Préstamos'!$J$2:$J$101,MATCH($A85,'Préstamos'!$A$2:$A$101,0)))))</f>
        <v/>
      </c>
      <c r="G85" s="29">
        <f>IF($A85="","",IF(AND(D85&lt;&gt;"Solo interés",C85=INDEX('Préstamos'!$G$2:$G$101,MATCH($A85,'Préstamos'!$A$2:$A$101,0))),INDEX('Préstamos'!$I$2:$I$101,MATCH($A85,'Préstamos'!$A$2:$A$101,0))-INDEX('Préstamos'!$K$2:$K$101,MATCH($A85,'Préstamos'!$A$2:$A$101,0))*(INDEX('Préstamos'!$G$2:$G$101,MATCH($A85,'Préstamos'!$A$2:$A$101,0))-1),INDEX('Préstamos'!$K$2:$K$101,MATCH($A85,'Préstamos'!$A$2:$A$101,0))))</f>
        <v/>
      </c>
      <c r="H85" s="29">
        <f>IF($A85="","",F85+G85)</f>
        <v/>
      </c>
      <c r="I85" s="14" t="n"/>
      <c r="J85" s="33" t="n"/>
      <c r="K85" s="16">
        <f>IF(OR($A85="",I85="Pagado"),"",MAX(0,TODAY()-E85))</f>
        <v/>
      </c>
      <c r="L85" s="16">
        <f>IF($A85="","",IF(I85="Pagado","Pagado",IF(E85&lt;TODAY(),"Atrasado",IF(E85&lt;=EOMONTH(TODAY(),0),"Este mes","Pendiente"))))</f>
        <v/>
      </c>
      <c r="M85" s="20">
        <f>IF(OR($A85="",I85="Pagado"),"",HYPERLINK("https://wa.me/"&amp;IF(INDEX('Préstamos'!$C$2:$C$101,MATCH($A85,'Préstamos'!$A$2:$A$101,0))="","","51"&amp;SUBSTITUTE(INDEX('Préstamos'!$C$2:$C$101,MATCH($A85,'Préstamos'!$A$2:$A$101,0))," ",""))&amp;"?text="&amp;SUBSTITUTE("Hola "&amp;B85&amp;", te recuerdo que tu cuota de S/ "&amp;H85&amp;IF(E85&lt;TODAY()," vencio el "," vence el ")&amp;TEXT(E85,"dd/mm")&amp;". Gracias!"," ","%20"),"WhatsApp"))</f>
        <v/>
      </c>
    </row>
    <row r="86">
      <c r="A86" s="14" t="n"/>
      <c r="B86" s="16">
        <f>IF($A86="","",INDEX('Préstamos'!$B$2:$B$101,MATCH($A86,'Préstamos'!$A$2:$A$101,0)))</f>
        <v/>
      </c>
      <c r="C86" s="14" t="n"/>
      <c r="D86" s="14" t="n"/>
      <c r="E86" s="33" t="n"/>
      <c r="F86" s="29">
        <f>IF($A86="","",IF(D86="Solo interés",0,IF(AND(D86&lt;&gt;"Solo interés",C86=INDEX('Préstamos'!$G$2:$G$101,MATCH($A86,'Préstamos'!$A$2:$A$101,0))),INDEX('Préstamos'!$D$2:$D$101,MATCH($A86,'Préstamos'!$A$2:$A$101,0))-INDEX('Préstamos'!$J$2:$J$101,MATCH($A86,'Préstamos'!$A$2:$A$101,0))*(INDEX('Préstamos'!$G$2:$G$101,MATCH($A86,'Préstamos'!$A$2:$A$101,0))-1),INDEX('Préstamos'!$J$2:$J$101,MATCH($A86,'Préstamos'!$A$2:$A$101,0)))))</f>
        <v/>
      </c>
      <c r="G86" s="29">
        <f>IF($A86="","",IF(AND(D86&lt;&gt;"Solo interés",C86=INDEX('Préstamos'!$G$2:$G$101,MATCH($A86,'Préstamos'!$A$2:$A$101,0))),INDEX('Préstamos'!$I$2:$I$101,MATCH($A86,'Préstamos'!$A$2:$A$101,0))-INDEX('Préstamos'!$K$2:$K$101,MATCH($A86,'Préstamos'!$A$2:$A$101,0))*(INDEX('Préstamos'!$G$2:$G$101,MATCH($A86,'Préstamos'!$A$2:$A$101,0))-1),INDEX('Préstamos'!$K$2:$K$101,MATCH($A86,'Préstamos'!$A$2:$A$101,0))))</f>
        <v/>
      </c>
      <c r="H86" s="29">
        <f>IF($A86="","",F86+G86)</f>
        <v/>
      </c>
      <c r="I86" s="14" t="n"/>
      <c r="J86" s="33" t="n"/>
      <c r="K86" s="16">
        <f>IF(OR($A86="",I86="Pagado"),"",MAX(0,TODAY()-E86))</f>
        <v/>
      </c>
      <c r="L86" s="16">
        <f>IF($A86="","",IF(I86="Pagado","Pagado",IF(E86&lt;TODAY(),"Atrasado",IF(E86&lt;=EOMONTH(TODAY(),0),"Este mes","Pendiente"))))</f>
        <v/>
      </c>
      <c r="M86" s="20">
        <f>IF(OR($A86="",I86="Pagado"),"",HYPERLINK("https://wa.me/"&amp;IF(INDEX('Préstamos'!$C$2:$C$101,MATCH($A86,'Préstamos'!$A$2:$A$101,0))="","","51"&amp;SUBSTITUTE(INDEX('Préstamos'!$C$2:$C$101,MATCH($A86,'Préstamos'!$A$2:$A$101,0))," ",""))&amp;"?text="&amp;SUBSTITUTE("Hola "&amp;B86&amp;", te recuerdo que tu cuota de S/ "&amp;H86&amp;IF(E86&lt;TODAY()," vencio el "," vence el ")&amp;TEXT(E86,"dd/mm")&amp;". Gracias!"," ","%20"),"WhatsApp"))</f>
        <v/>
      </c>
    </row>
    <row r="87">
      <c r="A87" s="14" t="n"/>
      <c r="B87" s="16">
        <f>IF($A87="","",INDEX('Préstamos'!$B$2:$B$101,MATCH($A87,'Préstamos'!$A$2:$A$101,0)))</f>
        <v/>
      </c>
      <c r="C87" s="14" t="n"/>
      <c r="D87" s="14" t="n"/>
      <c r="E87" s="33" t="n"/>
      <c r="F87" s="29">
        <f>IF($A87="","",IF(D87="Solo interés",0,IF(AND(D87&lt;&gt;"Solo interés",C87=INDEX('Préstamos'!$G$2:$G$101,MATCH($A87,'Préstamos'!$A$2:$A$101,0))),INDEX('Préstamos'!$D$2:$D$101,MATCH($A87,'Préstamos'!$A$2:$A$101,0))-INDEX('Préstamos'!$J$2:$J$101,MATCH($A87,'Préstamos'!$A$2:$A$101,0))*(INDEX('Préstamos'!$G$2:$G$101,MATCH($A87,'Préstamos'!$A$2:$A$101,0))-1),INDEX('Préstamos'!$J$2:$J$101,MATCH($A87,'Préstamos'!$A$2:$A$101,0)))))</f>
        <v/>
      </c>
      <c r="G87" s="29">
        <f>IF($A87="","",IF(AND(D87&lt;&gt;"Solo interés",C87=INDEX('Préstamos'!$G$2:$G$101,MATCH($A87,'Préstamos'!$A$2:$A$101,0))),INDEX('Préstamos'!$I$2:$I$101,MATCH($A87,'Préstamos'!$A$2:$A$101,0))-INDEX('Préstamos'!$K$2:$K$101,MATCH($A87,'Préstamos'!$A$2:$A$101,0))*(INDEX('Préstamos'!$G$2:$G$101,MATCH($A87,'Préstamos'!$A$2:$A$101,0))-1),INDEX('Préstamos'!$K$2:$K$101,MATCH($A87,'Préstamos'!$A$2:$A$101,0))))</f>
        <v/>
      </c>
      <c r="H87" s="29">
        <f>IF($A87="","",F87+G87)</f>
        <v/>
      </c>
      <c r="I87" s="14" t="n"/>
      <c r="J87" s="33" t="n"/>
      <c r="K87" s="16">
        <f>IF(OR($A87="",I87="Pagado"),"",MAX(0,TODAY()-E87))</f>
        <v/>
      </c>
      <c r="L87" s="16">
        <f>IF($A87="","",IF(I87="Pagado","Pagado",IF(E87&lt;TODAY(),"Atrasado",IF(E87&lt;=EOMONTH(TODAY(),0),"Este mes","Pendiente"))))</f>
        <v/>
      </c>
      <c r="M87" s="20">
        <f>IF(OR($A87="",I87="Pagado"),"",HYPERLINK("https://wa.me/"&amp;IF(INDEX('Préstamos'!$C$2:$C$101,MATCH($A87,'Préstamos'!$A$2:$A$101,0))="","","51"&amp;SUBSTITUTE(INDEX('Préstamos'!$C$2:$C$101,MATCH($A87,'Préstamos'!$A$2:$A$101,0))," ",""))&amp;"?text="&amp;SUBSTITUTE("Hola "&amp;B87&amp;", te recuerdo que tu cuota de S/ "&amp;H87&amp;IF(E87&lt;TODAY()," vencio el "," vence el ")&amp;TEXT(E87,"dd/mm")&amp;". Gracias!"," ","%20"),"WhatsApp"))</f>
        <v/>
      </c>
    </row>
    <row r="88">
      <c r="A88" s="14" t="n"/>
      <c r="B88" s="16">
        <f>IF($A88="","",INDEX('Préstamos'!$B$2:$B$101,MATCH($A88,'Préstamos'!$A$2:$A$101,0)))</f>
        <v/>
      </c>
      <c r="C88" s="14" t="n"/>
      <c r="D88" s="14" t="n"/>
      <c r="E88" s="33" t="n"/>
      <c r="F88" s="29">
        <f>IF($A88="","",IF(D88="Solo interés",0,IF(AND(D88&lt;&gt;"Solo interés",C88=INDEX('Préstamos'!$G$2:$G$101,MATCH($A88,'Préstamos'!$A$2:$A$101,0))),INDEX('Préstamos'!$D$2:$D$101,MATCH($A88,'Préstamos'!$A$2:$A$101,0))-INDEX('Préstamos'!$J$2:$J$101,MATCH($A88,'Préstamos'!$A$2:$A$101,0))*(INDEX('Préstamos'!$G$2:$G$101,MATCH($A88,'Préstamos'!$A$2:$A$101,0))-1),INDEX('Préstamos'!$J$2:$J$101,MATCH($A88,'Préstamos'!$A$2:$A$101,0)))))</f>
        <v/>
      </c>
      <c r="G88" s="29">
        <f>IF($A88="","",IF(AND(D88&lt;&gt;"Solo interés",C88=INDEX('Préstamos'!$G$2:$G$101,MATCH($A88,'Préstamos'!$A$2:$A$101,0))),INDEX('Préstamos'!$I$2:$I$101,MATCH($A88,'Préstamos'!$A$2:$A$101,0))-INDEX('Préstamos'!$K$2:$K$101,MATCH($A88,'Préstamos'!$A$2:$A$101,0))*(INDEX('Préstamos'!$G$2:$G$101,MATCH($A88,'Préstamos'!$A$2:$A$101,0))-1),INDEX('Préstamos'!$K$2:$K$101,MATCH($A88,'Préstamos'!$A$2:$A$101,0))))</f>
        <v/>
      </c>
      <c r="H88" s="29">
        <f>IF($A88="","",F88+G88)</f>
        <v/>
      </c>
      <c r="I88" s="14" t="n"/>
      <c r="J88" s="33" t="n"/>
      <c r="K88" s="16">
        <f>IF(OR($A88="",I88="Pagado"),"",MAX(0,TODAY()-E88))</f>
        <v/>
      </c>
      <c r="L88" s="16">
        <f>IF($A88="","",IF(I88="Pagado","Pagado",IF(E88&lt;TODAY(),"Atrasado",IF(E88&lt;=EOMONTH(TODAY(),0),"Este mes","Pendiente"))))</f>
        <v/>
      </c>
      <c r="M88" s="20">
        <f>IF(OR($A88="",I88="Pagado"),"",HYPERLINK("https://wa.me/"&amp;IF(INDEX('Préstamos'!$C$2:$C$101,MATCH($A88,'Préstamos'!$A$2:$A$101,0))="","","51"&amp;SUBSTITUTE(INDEX('Préstamos'!$C$2:$C$101,MATCH($A88,'Préstamos'!$A$2:$A$101,0))," ",""))&amp;"?text="&amp;SUBSTITUTE("Hola "&amp;B88&amp;", te recuerdo que tu cuota de S/ "&amp;H88&amp;IF(E88&lt;TODAY()," vencio el "," vence el ")&amp;TEXT(E88,"dd/mm")&amp;". Gracias!"," ","%20"),"WhatsApp"))</f>
        <v/>
      </c>
    </row>
    <row r="89">
      <c r="A89" s="14" t="n"/>
      <c r="B89" s="16">
        <f>IF($A89="","",INDEX('Préstamos'!$B$2:$B$101,MATCH($A89,'Préstamos'!$A$2:$A$101,0)))</f>
        <v/>
      </c>
      <c r="C89" s="14" t="n"/>
      <c r="D89" s="14" t="n"/>
      <c r="E89" s="33" t="n"/>
      <c r="F89" s="29">
        <f>IF($A89="","",IF(D89="Solo interés",0,IF(AND(D89&lt;&gt;"Solo interés",C89=INDEX('Préstamos'!$G$2:$G$101,MATCH($A89,'Préstamos'!$A$2:$A$101,0))),INDEX('Préstamos'!$D$2:$D$101,MATCH($A89,'Préstamos'!$A$2:$A$101,0))-INDEX('Préstamos'!$J$2:$J$101,MATCH($A89,'Préstamos'!$A$2:$A$101,0))*(INDEX('Préstamos'!$G$2:$G$101,MATCH($A89,'Préstamos'!$A$2:$A$101,0))-1),INDEX('Préstamos'!$J$2:$J$101,MATCH($A89,'Préstamos'!$A$2:$A$101,0)))))</f>
        <v/>
      </c>
      <c r="G89" s="29">
        <f>IF($A89="","",IF(AND(D89&lt;&gt;"Solo interés",C89=INDEX('Préstamos'!$G$2:$G$101,MATCH($A89,'Préstamos'!$A$2:$A$101,0))),INDEX('Préstamos'!$I$2:$I$101,MATCH($A89,'Préstamos'!$A$2:$A$101,0))-INDEX('Préstamos'!$K$2:$K$101,MATCH($A89,'Préstamos'!$A$2:$A$101,0))*(INDEX('Préstamos'!$G$2:$G$101,MATCH($A89,'Préstamos'!$A$2:$A$101,0))-1),INDEX('Préstamos'!$K$2:$K$101,MATCH($A89,'Préstamos'!$A$2:$A$101,0))))</f>
        <v/>
      </c>
      <c r="H89" s="29">
        <f>IF($A89="","",F89+G89)</f>
        <v/>
      </c>
      <c r="I89" s="14" t="n"/>
      <c r="J89" s="33" t="n"/>
      <c r="K89" s="16">
        <f>IF(OR($A89="",I89="Pagado"),"",MAX(0,TODAY()-E89))</f>
        <v/>
      </c>
      <c r="L89" s="16">
        <f>IF($A89="","",IF(I89="Pagado","Pagado",IF(E89&lt;TODAY(),"Atrasado",IF(E89&lt;=EOMONTH(TODAY(),0),"Este mes","Pendiente"))))</f>
        <v/>
      </c>
      <c r="M89" s="20">
        <f>IF(OR($A89="",I89="Pagado"),"",HYPERLINK("https://wa.me/"&amp;IF(INDEX('Préstamos'!$C$2:$C$101,MATCH($A89,'Préstamos'!$A$2:$A$101,0))="","","51"&amp;SUBSTITUTE(INDEX('Préstamos'!$C$2:$C$101,MATCH($A89,'Préstamos'!$A$2:$A$101,0))," ",""))&amp;"?text="&amp;SUBSTITUTE("Hola "&amp;B89&amp;", te recuerdo que tu cuota de S/ "&amp;H89&amp;IF(E89&lt;TODAY()," vencio el "," vence el ")&amp;TEXT(E89,"dd/mm")&amp;". Gracias!"," ","%20"),"WhatsApp"))</f>
        <v/>
      </c>
    </row>
    <row r="90">
      <c r="A90" s="14" t="n"/>
      <c r="B90" s="16">
        <f>IF($A90="","",INDEX('Préstamos'!$B$2:$B$101,MATCH($A90,'Préstamos'!$A$2:$A$101,0)))</f>
        <v/>
      </c>
      <c r="C90" s="14" t="n"/>
      <c r="D90" s="14" t="n"/>
      <c r="E90" s="33" t="n"/>
      <c r="F90" s="29">
        <f>IF($A90="","",IF(D90="Solo interés",0,IF(AND(D90&lt;&gt;"Solo interés",C90=INDEX('Préstamos'!$G$2:$G$101,MATCH($A90,'Préstamos'!$A$2:$A$101,0))),INDEX('Préstamos'!$D$2:$D$101,MATCH($A90,'Préstamos'!$A$2:$A$101,0))-INDEX('Préstamos'!$J$2:$J$101,MATCH($A90,'Préstamos'!$A$2:$A$101,0))*(INDEX('Préstamos'!$G$2:$G$101,MATCH($A90,'Préstamos'!$A$2:$A$101,0))-1),INDEX('Préstamos'!$J$2:$J$101,MATCH($A90,'Préstamos'!$A$2:$A$101,0)))))</f>
        <v/>
      </c>
      <c r="G90" s="29">
        <f>IF($A90="","",IF(AND(D90&lt;&gt;"Solo interés",C90=INDEX('Préstamos'!$G$2:$G$101,MATCH($A90,'Préstamos'!$A$2:$A$101,0))),INDEX('Préstamos'!$I$2:$I$101,MATCH($A90,'Préstamos'!$A$2:$A$101,0))-INDEX('Préstamos'!$K$2:$K$101,MATCH($A90,'Préstamos'!$A$2:$A$101,0))*(INDEX('Préstamos'!$G$2:$G$101,MATCH($A90,'Préstamos'!$A$2:$A$101,0))-1),INDEX('Préstamos'!$K$2:$K$101,MATCH($A90,'Préstamos'!$A$2:$A$101,0))))</f>
        <v/>
      </c>
      <c r="H90" s="29">
        <f>IF($A90="","",F90+G90)</f>
        <v/>
      </c>
      <c r="I90" s="14" t="n"/>
      <c r="J90" s="33" t="n"/>
      <c r="K90" s="16">
        <f>IF(OR($A90="",I90="Pagado"),"",MAX(0,TODAY()-E90))</f>
        <v/>
      </c>
      <c r="L90" s="16">
        <f>IF($A90="","",IF(I90="Pagado","Pagado",IF(E90&lt;TODAY(),"Atrasado",IF(E90&lt;=EOMONTH(TODAY(),0),"Este mes","Pendiente"))))</f>
        <v/>
      </c>
      <c r="M90" s="20">
        <f>IF(OR($A90="",I90="Pagado"),"",HYPERLINK("https://wa.me/"&amp;IF(INDEX('Préstamos'!$C$2:$C$101,MATCH($A90,'Préstamos'!$A$2:$A$101,0))="","","51"&amp;SUBSTITUTE(INDEX('Préstamos'!$C$2:$C$101,MATCH($A90,'Préstamos'!$A$2:$A$101,0))," ",""))&amp;"?text="&amp;SUBSTITUTE("Hola "&amp;B90&amp;", te recuerdo que tu cuota de S/ "&amp;H90&amp;IF(E90&lt;TODAY()," vencio el "," vence el ")&amp;TEXT(E90,"dd/mm")&amp;". Gracias!"," ","%20"),"WhatsApp"))</f>
        <v/>
      </c>
    </row>
    <row r="91">
      <c r="A91" s="14" t="n"/>
      <c r="B91" s="16">
        <f>IF($A91="","",INDEX('Préstamos'!$B$2:$B$101,MATCH($A91,'Préstamos'!$A$2:$A$101,0)))</f>
        <v/>
      </c>
      <c r="C91" s="14" t="n"/>
      <c r="D91" s="14" t="n"/>
      <c r="E91" s="33" t="n"/>
      <c r="F91" s="29">
        <f>IF($A91="","",IF(D91="Solo interés",0,IF(AND(D91&lt;&gt;"Solo interés",C91=INDEX('Préstamos'!$G$2:$G$101,MATCH($A91,'Préstamos'!$A$2:$A$101,0))),INDEX('Préstamos'!$D$2:$D$101,MATCH($A91,'Préstamos'!$A$2:$A$101,0))-INDEX('Préstamos'!$J$2:$J$101,MATCH($A91,'Préstamos'!$A$2:$A$101,0))*(INDEX('Préstamos'!$G$2:$G$101,MATCH($A91,'Préstamos'!$A$2:$A$101,0))-1),INDEX('Préstamos'!$J$2:$J$101,MATCH($A91,'Préstamos'!$A$2:$A$101,0)))))</f>
        <v/>
      </c>
      <c r="G91" s="29">
        <f>IF($A91="","",IF(AND(D91&lt;&gt;"Solo interés",C91=INDEX('Préstamos'!$G$2:$G$101,MATCH($A91,'Préstamos'!$A$2:$A$101,0))),INDEX('Préstamos'!$I$2:$I$101,MATCH($A91,'Préstamos'!$A$2:$A$101,0))-INDEX('Préstamos'!$K$2:$K$101,MATCH($A91,'Préstamos'!$A$2:$A$101,0))*(INDEX('Préstamos'!$G$2:$G$101,MATCH($A91,'Préstamos'!$A$2:$A$101,0))-1),INDEX('Préstamos'!$K$2:$K$101,MATCH($A91,'Préstamos'!$A$2:$A$101,0))))</f>
        <v/>
      </c>
      <c r="H91" s="29">
        <f>IF($A91="","",F91+G91)</f>
        <v/>
      </c>
      <c r="I91" s="14" t="n"/>
      <c r="J91" s="33" t="n"/>
      <c r="K91" s="16">
        <f>IF(OR($A91="",I91="Pagado"),"",MAX(0,TODAY()-E91))</f>
        <v/>
      </c>
      <c r="L91" s="16">
        <f>IF($A91="","",IF(I91="Pagado","Pagado",IF(E91&lt;TODAY(),"Atrasado",IF(E91&lt;=EOMONTH(TODAY(),0),"Este mes","Pendiente"))))</f>
        <v/>
      </c>
      <c r="M91" s="20">
        <f>IF(OR($A91="",I91="Pagado"),"",HYPERLINK("https://wa.me/"&amp;IF(INDEX('Préstamos'!$C$2:$C$101,MATCH($A91,'Préstamos'!$A$2:$A$101,0))="","","51"&amp;SUBSTITUTE(INDEX('Préstamos'!$C$2:$C$101,MATCH($A91,'Préstamos'!$A$2:$A$101,0))," ",""))&amp;"?text="&amp;SUBSTITUTE("Hola "&amp;B91&amp;", te recuerdo que tu cuota de S/ "&amp;H91&amp;IF(E91&lt;TODAY()," vencio el "," vence el ")&amp;TEXT(E91,"dd/mm")&amp;". Gracias!"," ","%20"),"WhatsApp"))</f>
        <v/>
      </c>
    </row>
    <row r="92">
      <c r="A92" s="14" t="n"/>
      <c r="B92" s="16">
        <f>IF($A92="","",INDEX('Préstamos'!$B$2:$B$101,MATCH($A92,'Préstamos'!$A$2:$A$101,0)))</f>
        <v/>
      </c>
      <c r="C92" s="14" t="n"/>
      <c r="D92" s="14" t="n"/>
      <c r="E92" s="33" t="n"/>
      <c r="F92" s="29">
        <f>IF($A92="","",IF(D92="Solo interés",0,IF(AND(D92&lt;&gt;"Solo interés",C92=INDEX('Préstamos'!$G$2:$G$101,MATCH($A92,'Préstamos'!$A$2:$A$101,0))),INDEX('Préstamos'!$D$2:$D$101,MATCH($A92,'Préstamos'!$A$2:$A$101,0))-INDEX('Préstamos'!$J$2:$J$101,MATCH($A92,'Préstamos'!$A$2:$A$101,0))*(INDEX('Préstamos'!$G$2:$G$101,MATCH($A92,'Préstamos'!$A$2:$A$101,0))-1),INDEX('Préstamos'!$J$2:$J$101,MATCH($A92,'Préstamos'!$A$2:$A$101,0)))))</f>
        <v/>
      </c>
      <c r="G92" s="29">
        <f>IF($A92="","",IF(AND(D92&lt;&gt;"Solo interés",C92=INDEX('Préstamos'!$G$2:$G$101,MATCH($A92,'Préstamos'!$A$2:$A$101,0))),INDEX('Préstamos'!$I$2:$I$101,MATCH($A92,'Préstamos'!$A$2:$A$101,0))-INDEX('Préstamos'!$K$2:$K$101,MATCH($A92,'Préstamos'!$A$2:$A$101,0))*(INDEX('Préstamos'!$G$2:$G$101,MATCH($A92,'Préstamos'!$A$2:$A$101,0))-1),INDEX('Préstamos'!$K$2:$K$101,MATCH($A92,'Préstamos'!$A$2:$A$101,0))))</f>
        <v/>
      </c>
      <c r="H92" s="29">
        <f>IF($A92="","",F92+G92)</f>
        <v/>
      </c>
      <c r="I92" s="14" t="n"/>
      <c r="J92" s="33" t="n"/>
      <c r="K92" s="16">
        <f>IF(OR($A92="",I92="Pagado"),"",MAX(0,TODAY()-E92))</f>
        <v/>
      </c>
      <c r="L92" s="16">
        <f>IF($A92="","",IF(I92="Pagado","Pagado",IF(E92&lt;TODAY(),"Atrasado",IF(E92&lt;=EOMONTH(TODAY(),0),"Este mes","Pendiente"))))</f>
        <v/>
      </c>
      <c r="M92" s="20">
        <f>IF(OR($A92="",I92="Pagado"),"",HYPERLINK("https://wa.me/"&amp;IF(INDEX('Préstamos'!$C$2:$C$101,MATCH($A92,'Préstamos'!$A$2:$A$101,0))="","","51"&amp;SUBSTITUTE(INDEX('Préstamos'!$C$2:$C$101,MATCH($A92,'Préstamos'!$A$2:$A$101,0))," ",""))&amp;"?text="&amp;SUBSTITUTE("Hola "&amp;B92&amp;", te recuerdo que tu cuota de S/ "&amp;H92&amp;IF(E92&lt;TODAY()," vencio el "," vence el ")&amp;TEXT(E92,"dd/mm")&amp;". Gracias!"," ","%20"),"WhatsApp"))</f>
        <v/>
      </c>
    </row>
    <row r="93">
      <c r="A93" s="14" t="n"/>
      <c r="B93" s="16">
        <f>IF($A93="","",INDEX('Préstamos'!$B$2:$B$101,MATCH($A93,'Préstamos'!$A$2:$A$101,0)))</f>
        <v/>
      </c>
      <c r="C93" s="14" t="n"/>
      <c r="D93" s="14" t="n"/>
      <c r="E93" s="33" t="n"/>
      <c r="F93" s="29">
        <f>IF($A93="","",IF(D93="Solo interés",0,IF(AND(D93&lt;&gt;"Solo interés",C93=INDEX('Préstamos'!$G$2:$G$101,MATCH($A93,'Préstamos'!$A$2:$A$101,0))),INDEX('Préstamos'!$D$2:$D$101,MATCH($A93,'Préstamos'!$A$2:$A$101,0))-INDEX('Préstamos'!$J$2:$J$101,MATCH($A93,'Préstamos'!$A$2:$A$101,0))*(INDEX('Préstamos'!$G$2:$G$101,MATCH($A93,'Préstamos'!$A$2:$A$101,0))-1),INDEX('Préstamos'!$J$2:$J$101,MATCH($A93,'Préstamos'!$A$2:$A$101,0)))))</f>
        <v/>
      </c>
      <c r="G93" s="29">
        <f>IF($A93="","",IF(AND(D93&lt;&gt;"Solo interés",C93=INDEX('Préstamos'!$G$2:$G$101,MATCH($A93,'Préstamos'!$A$2:$A$101,0))),INDEX('Préstamos'!$I$2:$I$101,MATCH($A93,'Préstamos'!$A$2:$A$101,0))-INDEX('Préstamos'!$K$2:$K$101,MATCH($A93,'Préstamos'!$A$2:$A$101,0))*(INDEX('Préstamos'!$G$2:$G$101,MATCH($A93,'Préstamos'!$A$2:$A$101,0))-1),INDEX('Préstamos'!$K$2:$K$101,MATCH($A93,'Préstamos'!$A$2:$A$101,0))))</f>
        <v/>
      </c>
      <c r="H93" s="29">
        <f>IF($A93="","",F93+G93)</f>
        <v/>
      </c>
      <c r="I93" s="14" t="n"/>
      <c r="J93" s="33" t="n"/>
      <c r="K93" s="16">
        <f>IF(OR($A93="",I93="Pagado"),"",MAX(0,TODAY()-E93))</f>
        <v/>
      </c>
      <c r="L93" s="16">
        <f>IF($A93="","",IF(I93="Pagado","Pagado",IF(E93&lt;TODAY(),"Atrasado",IF(E93&lt;=EOMONTH(TODAY(),0),"Este mes","Pendiente"))))</f>
        <v/>
      </c>
      <c r="M93" s="20">
        <f>IF(OR($A93="",I93="Pagado"),"",HYPERLINK("https://wa.me/"&amp;IF(INDEX('Préstamos'!$C$2:$C$101,MATCH($A93,'Préstamos'!$A$2:$A$101,0))="","","51"&amp;SUBSTITUTE(INDEX('Préstamos'!$C$2:$C$101,MATCH($A93,'Préstamos'!$A$2:$A$101,0))," ",""))&amp;"?text="&amp;SUBSTITUTE("Hola "&amp;B93&amp;", te recuerdo que tu cuota de S/ "&amp;H93&amp;IF(E93&lt;TODAY()," vencio el "," vence el ")&amp;TEXT(E93,"dd/mm")&amp;". Gracias!"," ","%20"),"WhatsApp"))</f>
        <v/>
      </c>
    </row>
    <row r="94">
      <c r="A94" s="14" t="n"/>
      <c r="B94" s="16">
        <f>IF($A94="","",INDEX('Préstamos'!$B$2:$B$101,MATCH($A94,'Préstamos'!$A$2:$A$101,0)))</f>
        <v/>
      </c>
      <c r="C94" s="14" t="n"/>
      <c r="D94" s="14" t="n"/>
      <c r="E94" s="33" t="n"/>
      <c r="F94" s="29">
        <f>IF($A94="","",IF(D94="Solo interés",0,IF(AND(D94&lt;&gt;"Solo interés",C94=INDEX('Préstamos'!$G$2:$G$101,MATCH($A94,'Préstamos'!$A$2:$A$101,0))),INDEX('Préstamos'!$D$2:$D$101,MATCH($A94,'Préstamos'!$A$2:$A$101,0))-INDEX('Préstamos'!$J$2:$J$101,MATCH($A94,'Préstamos'!$A$2:$A$101,0))*(INDEX('Préstamos'!$G$2:$G$101,MATCH($A94,'Préstamos'!$A$2:$A$101,0))-1),INDEX('Préstamos'!$J$2:$J$101,MATCH($A94,'Préstamos'!$A$2:$A$101,0)))))</f>
        <v/>
      </c>
      <c r="G94" s="29">
        <f>IF($A94="","",IF(AND(D94&lt;&gt;"Solo interés",C94=INDEX('Préstamos'!$G$2:$G$101,MATCH($A94,'Préstamos'!$A$2:$A$101,0))),INDEX('Préstamos'!$I$2:$I$101,MATCH($A94,'Préstamos'!$A$2:$A$101,0))-INDEX('Préstamos'!$K$2:$K$101,MATCH($A94,'Préstamos'!$A$2:$A$101,0))*(INDEX('Préstamos'!$G$2:$G$101,MATCH($A94,'Préstamos'!$A$2:$A$101,0))-1),INDEX('Préstamos'!$K$2:$K$101,MATCH($A94,'Préstamos'!$A$2:$A$101,0))))</f>
        <v/>
      </c>
      <c r="H94" s="29">
        <f>IF($A94="","",F94+G94)</f>
        <v/>
      </c>
      <c r="I94" s="14" t="n"/>
      <c r="J94" s="33" t="n"/>
      <c r="K94" s="16">
        <f>IF(OR($A94="",I94="Pagado"),"",MAX(0,TODAY()-E94))</f>
        <v/>
      </c>
      <c r="L94" s="16">
        <f>IF($A94="","",IF(I94="Pagado","Pagado",IF(E94&lt;TODAY(),"Atrasado",IF(E94&lt;=EOMONTH(TODAY(),0),"Este mes","Pendiente"))))</f>
        <v/>
      </c>
      <c r="M94" s="20">
        <f>IF(OR($A94="",I94="Pagado"),"",HYPERLINK("https://wa.me/"&amp;IF(INDEX('Préstamos'!$C$2:$C$101,MATCH($A94,'Préstamos'!$A$2:$A$101,0))="","","51"&amp;SUBSTITUTE(INDEX('Préstamos'!$C$2:$C$101,MATCH($A94,'Préstamos'!$A$2:$A$101,0))," ",""))&amp;"?text="&amp;SUBSTITUTE("Hola "&amp;B94&amp;", te recuerdo que tu cuota de S/ "&amp;H94&amp;IF(E94&lt;TODAY()," vencio el "," vence el ")&amp;TEXT(E94,"dd/mm")&amp;". Gracias!"," ","%20"),"WhatsApp"))</f>
        <v/>
      </c>
    </row>
    <row r="95">
      <c r="A95" s="14" t="n"/>
      <c r="B95" s="16">
        <f>IF($A95="","",INDEX('Préstamos'!$B$2:$B$101,MATCH($A95,'Préstamos'!$A$2:$A$101,0)))</f>
        <v/>
      </c>
      <c r="C95" s="14" t="n"/>
      <c r="D95" s="14" t="n"/>
      <c r="E95" s="33" t="n"/>
      <c r="F95" s="29">
        <f>IF($A95="","",IF(D95="Solo interés",0,IF(AND(D95&lt;&gt;"Solo interés",C95=INDEX('Préstamos'!$G$2:$G$101,MATCH($A95,'Préstamos'!$A$2:$A$101,0))),INDEX('Préstamos'!$D$2:$D$101,MATCH($A95,'Préstamos'!$A$2:$A$101,0))-INDEX('Préstamos'!$J$2:$J$101,MATCH($A95,'Préstamos'!$A$2:$A$101,0))*(INDEX('Préstamos'!$G$2:$G$101,MATCH($A95,'Préstamos'!$A$2:$A$101,0))-1),INDEX('Préstamos'!$J$2:$J$101,MATCH($A95,'Préstamos'!$A$2:$A$101,0)))))</f>
        <v/>
      </c>
      <c r="G95" s="29">
        <f>IF($A95="","",IF(AND(D95&lt;&gt;"Solo interés",C95=INDEX('Préstamos'!$G$2:$G$101,MATCH($A95,'Préstamos'!$A$2:$A$101,0))),INDEX('Préstamos'!$I$2:$I$101,MATCH($A95,'Préstamos'!$A$2:$A$101,0))-INDEX('Préstamos'!$K$2:$K$101,MATCH($A95,'Préstamos'!$A$2:$A$101,0))*(INDEX('Préstamos'!$G$2:$G$101,MATCH($A95,'Préstamos'!$A$2:$A$101,0))-1),INDEX('Préstamos'!$K$2:$K$101,MATCH($A95,'Préstamos'!$A$2:$A$101,0))))</f>
        <v/>
      </c>
      <c r="H95" s="29">
        <f>IF($A95="","",F95+G95)</f>
        <v/>
      </c>
      <c r="I95" s="14" t="n"/>
      <c r="J95" s="33" t="n"/>
      <c r="K95" s="16">
        <f>IF(OR($A95="",I95="Pagado"),"",MAX(0,TODAY()-E95))</f>
        <v/>
      </c>
      <c r="L95" s="16">
        <f>IF($A95="","",IF(I95="Pagado","Pagado",IF(E95&lt;TODAY(),"Atrasado",IF(E95&lt;=EOMONTH(TODAY(),0),"Este mes","Pendiente"))))</f>
        <v/>
      </c>
      <c r="M95" s="20">
        <f>IF(OR($A95="",I95="Pagado"),"",HYPERLINK("https://wa.me/"&amp;IF(INDEX('Préstamos'!$C$2:$C$101,MATCH($A95,'Préstamos'!$A$2:$A$101,0))="","","51"&amp;SUBSTITUTE(INDEX('Préstamos'!$C$2:$C$101,MATCH($A95,'Préstamos'!$A$2:$A$101,0))," ",""))&amp;"?text="&amp;SUBSTITUTE("Hola "&amp;B95&amp;", te recuerdo que tu cuota de S/ "&amp;H95&amp;IF(E95&lt;TODAY()," vencio el "," vence el ")&amp;TEXT(E95,"dd/mm")&amp;". Gracias!"," ","%20"),"WhatsApp"))</f>
        <v/>
      </c>
    </row>
    <row r="96">
      <c r="A96" s="14" t="n"/>
      <c r="B96" s="16">
        <f>IF($A96="","",INDEX('Préstamos'!$B$2:$B$101,MATCH($A96,'Préstamos'!$A$2:$A$101,0)))</f>
        <v/>
      </c>
      <c r="C96" s="14" t="n"/>
      <c r="D96" s="14" t="n"/>
      <c r="E96" s="33" t="n"/>
      <c r="F96" s="29">
        <f>IF($A96="","",IF(D96="Solo interés",0,IF(AND(D96&lt;&gt;"Solo interés",C96=INDEX('Préstamos'!$G$2:$G$101,MATCH($A96,'Préstamos'!$A$2:$A$101,0))),INDEX('Préstamos'!$D$2:$D$101,MATCH($A96,'Préstamos'!$A$2:$A$101,0))-INDEX('Préstamos'!$J$2:$J$101,MATCH($A96,'Préstamos'!$A$2:$A$101,0))*(INDEX('Préstamos'!$G$2:$G$101,MATCH($A96,'Préstamos'!$A$2:$A$101,0))-1),INDEX('Préstamos'!$J$2:$J$101,MATCH($A96,'Préstamos'!$A$2:$A$101,0)))))</f>
        <v/>
      </c>
      <c r="G96" s="29">
        <f>IF($A96="","",IF(AND(D96&lt;&gt;"Solo interés",C96=INDEX('Préstamos'!$G$2:$G$101,MATCH($A96,'Préstamos'!$A$2:$A$101,0))),INDEX('Préstamos'!$I$2:$I$101,MATCH($A96,'Préstamos'!$A$2:$A$101,0))-INDEX('Préstamos'!$K$2:$K$101,MATCH($A96,'Préstamos'!$A$2:$A$101,0))*(INDEX('Préstamos'!$G$2:$G$101,MATCH($A96,'Préstamos'!$A$2:$A$101,0))-1),INDEX('Préstamos'!$K$2:$K$101,MATCH($A96,'Préstamos'!$A$2:$A$101,0))))</f>
        <v/>
      </c>
      <c r="H96" s="29">
        <f>IF($A96="","",F96+G96)</f>
        <v/>
      </c>
      <c r="I96" s="14" t="n"/>
      <c r="J96" s="33" t="n"/>
      <c r="K96" s="16">
        <f>IF(OR($A96="",I96="Pagado"),"",MAX(0,TODAY()-E96))</f>
        <v/>
      </c>
      <c r="L96" s="16">
        <f>IF($A96="","",IF(I96="Pagado","Pagado",IF(E96&lt;TODAY(),"Atrasado",IF(E96&lt;=EOMONTH(TODAY(),0),"Este mes","Pendiente"))))</f>
        <v/>
      </c>
      <c r="M96" s="20">
        <f>IF(OR($A96="",I96="Pagado"),"",HYPERLINK("https://wa.me/"&amp;IF(INDEX('Préstamos'!$C$2:$C$101,MATCH($A96,'Préstamos'!$A$2:$A$101,0))="","","51"&amp;SUBSTITUTE(INDEX('Préstamos'!$C$2:$C$101,MATCH($A96,'Préstamos'!$A$2:$A$101,0))," ",""))&amp;"?text="&amp;SUBSTITUTE("Hola "&amp;B96&amp;", te recuerdo que tu cuota de S/ "&amp;H96&amp;IF(E96&lt;TODAY()," vencio el "," vence el ")&amp;TEXT(E96,"dd/mm")&amp;". Gracias!"," ","%20"),"WhatsApp"))</f>
        <v/>
      </c>
    </row>
    <row r="97">
      <c r="A97" s="14" t="n"/>
      <c r="B97" s="16">
        <f>IF($A97="","",INDEX('Préstamos'!$B$2:$B$101,MATCH($A97,'Préstamos'!$A$2:$A$101,0)))</f>
        <v/>
      </c>
      <c r="C97" s="14" t="n"/>
      <c r="D97" s="14" t="n"/>
      <c r="E97" s="33" t="n"/>
      <c r="F97" s="29">
        <f>IF($A97="","",IF(D97="Solo interés",0,IF(AND(D97&lt;&gt;"Solo interés",C97=INDEX('Préstamos'!$G$2:$G$101,MATCH($A97,'Préstamos'!$A$2:$A$101,0))),INDEX('Préstamos'!$D$2:$D$101,MATCH($A97,'Préstamos'!$A$2:$A$101,0))-INDEX('Préstamos'!$J$2:$J$101,MATCH($A97,'Préstamos'!$A$2:$A$101,0))*(INDEX('Préstamos'!$G$2:$G$101,MATCH($A97,'Préstamos'!$A$2:$A$101,0))-1),INDEX('Préstamos'!$J$2:$J$101,MATCH($A97,'Préstamos'!$A$2:$A$101,0)))))</f>
        <v/>
      </c>
      <c r="G97" s="29">
        <f>IF($A97="","",IF(AND(D97&lt;&gt;"Solo interés",C97=INDEX('Préstamos'!$G$2:$G$101,MATCH($A97,'Préstamos'!$A$2:$A$101,0))),INDEX('Préstamos'!$I$2:$I$101,MATCH($A97,'Préstamos'!$A$2:$A$101,0))-INDEX('Préstamos'!$K$2:$K$101,MATCH($A97,'Préstamos'!$A$2:$A$101,0))*(INDEX('Préstamos'!$G$2:$G$101,MATCH($A97,'Préstamos'!$A$2:$A$101,0))-1),INDEX('Préstamos'!$K$2:$K$101,MATCH($A97,'Préstamos'!$A$2:$A$101,0))))</f>
        <v/>
      </c>
      <c r="H97" s="29">
        <f>IF($A97="","",F97+G97)</f>
        <v/>
      </c>
      <c r="I97" s="14" t="n"/>
      <c r="J97" s="33" t="n"/>
      <c r="K97" s="16">
        <f>IF(OR($A97="",I97="Pagado"),"",MAX(0,TODAY()-E97))</f>
        <v/>
      </c>
      <c r="L97" s="16">
        <f>IF($A97="","",IF(I97="Pagado","Pagado",IF(E97&lt;TODAY(),"Atrasado",IF(E97&lt;=EOMONTH(TODAY(),0),"Este mes","Pendiente"))))</f>
        <v/>
      </c>
      <c r="M97" s="20">
        <f>IF(OR($A97="",I97="Pagado"),"",HYPERLINK("https://wa.me/"&amp;IF(INDEX('Préstamos'!$C$2:$C$101,MATCH($A97,'Préstamos'!$A$2:$A$101,0))="","","51"&amp;SUBSTITUTE(INDEX('Préstamos'!$C$2:$C$101,MATCH($A97,'Préstamos'!$A$2:$A$101,0))," ",""))&amp;"?text="&amp;SUBSTITUTE("Hola "&amp;B97&amp;", te recuerdo que tu cuota de S/ "&amp;H97&amp;IF(E97&lt;TODAY()," vencio el "," vence el ")&amp;TEXT(E97,"dd/mm")&amp;". Gracias!"," ","%20"),"WhatsApp"))</f>
        <v/>
      </c>
    </row>
    <row r="98">
      <c r="A98" s="14" t="n"/>
      <c r="B98" s="16">
        <f>IF($A98="","",INDEX('Préstamos'!$B$2:$B$101,MATCH($A98,'Préstamos'!$A$2:$A$101,0)))</f>
        <v/>
      </c>
      <c r="C98" s="14" t="n"/>
      <c r="D98" s="14" t="n"/>
      <c r="E98" s="33" t="n"/>
      <c r="F98" s="29">
        <f>IF($A98="","",IF(D98="Solo interés",0,IF(AND(D98&lt;&gt;"Solo interés",C98=INDEX('Préstamos'!$G$2:$G$101,MATCH($A98,'Préstamos'!$A$2:$A$101,0))),INDEX('Préstamos'!$D$2:$D$101,MATCH($A98,'Préstamos'!$A$2:$A$101,0))-INDEX('Préstamos'!$J$2:$J$101,MATCH($A98,'Préstamos'!$A$2:$A$101,0))*(INDEX('Préstamos'!$G$2:$G$101,MATCH($A98,'Préstamos'!$A$2:$A$101,0))-1),INDEX('Préstamos'!$J$2:$J$101,MATCH($A98,'Préstamos'!$A$2:$A$101,0)))))</f>
        <v/>
      </c>
      <c r="G98" s="29">
        <f>IF($A98="","",IF(AND(D98&lt;&gt;"Solo interés",C98=INDEX('Préstamos'!$G$2:$G$101,MATCH($A98,'Préstamos'!$A$2:$A$101,0))),INDEX('Préstamos'!$I$2:$I$101,MATCH($A98,'Préstamos'!$A$2:$A$101,0))-INDEX('Préstamos'!$K$2:$K$101,MATCH($A98,'Préstamos'!$A$2:$A$101,0))*(INDEX('Préstamos'!$G$2:$G$101,MATCH($A98,'Préstamos'!$A$2:$A$101,0))-1),INDEX('Préstamos'!$K$2:$K$101,MATCH($A98,'Préstamos'!$A$2:$A$101,0))))</f>
        <v/>
      </c>
      <c r="H98" s="29">
        <f>IF($A98="","",F98+G98)</f>
        <v/>
      </c>
      <c r="I98" s="14" t="n"/>
      <c r="J98" s="33" t="n"/>
      <c r="K98" s="16">
        <f>IF(OR($A98="",I98="Pagado"),"",MAX(0,TODAY()-E98))</f>
        <v/>
      </c>
      <c r="L98" s="16">
        <f>IF($A98="","",IF(I98="Pagado","Pagado",IF(E98&lt;TODAY(),"Atrasado",IF(E98&lt;=EOMONTH(TODAY(),0),"Este mes","Pendiente"))))</f>
        <v/>
      </c>
      <c r="M98" s="20">
        <f>IF(OR($A98="",I98="Pagado"),"",HYPERLINK("https://wa.me/"&amp;IF(INDEX('Préstamos'!$C$2:$C$101,MATCH($A98,'Préstamos'!$A$2:$A$101,0))="","","51"&amp;SUBSTITUTE(INDEX('Préstamos'!$C$2:$C$101,MATCH($A98,'Préstamos'!$A$2:$A$101,0))," ",""))&amp;"?text="&amp;SUBSTITUTE("Hola "&amp;B98&amp;", te recuerdo que tu cuota de S/ "&amp;H98&amp;IF(E98&lt;TODAY()," vencio el "," vence el ")&amp;TEXT(E98,"dd/mm")&amp;". Gracias!"," ","%20"),"WhatsApp"))</f>
        <v/>
      </c>
    </row>
    <row r="99">
      <c r="A99" s="14" t="n"/>
      <c r="B99" s="16">
        <f>IF($A99="","",INDEX('Préstamos'!$B$2:$B$101,MATCH($A99,'Préstamos'!$A$2:$A$101,0)))</f>
        <v/>
      </c>
      <c r="C99" s="14" t="n"/>
      <c r="D99" s="14" t="n"/>
      <c r="E99" s="33" t="n"/>
      <c r="F99" s="29">
        <f>IF($A99="","",IF(D99="Solo interés",0,IF(AND(D99&lt;&gt;"Solo interés",C99=INDEX('Préstamos'!$G$2:$G$101,MATCH($A99,'Préstamos'!$A$2:$A$101,0))),INDEX('Préstamos'!$D$2:$D$101,MATCH($A99,'Préstamos'!$A$2:$A$101,0))-INDEX('Préstamos'!$J$2:$J$101,MATCH($A99,'Préstamos'!$A$2:$A$101,0))*(INDEX('Préstamos'!$G$2:$G$101,MATCH($A99,'Préstamos'!$A$2:$A$101,0))-1),INDEX('Préstamos'!$J$2:$J$101,MATCH($A99,'Préstamos'!$A$2:$A$101,0)))))</f>
        <v/>
      </c>
      <c r="G99" s="29">
        <f>IF($A99="","",IF(AND(D99&lt;&gt;"Solo interés",C99=INDEX('Préstamos'!$G$2:$G$101,MATCH($A99,'Préstamos'!$A$2:$A$101,0))),INDEX('Préstamos'!$I$2:$I$101,MATCH($A99,'Préstamos'!$A$2:$A$101,0))-INDEX('Préstamos'!$K$2:$K$101,MATCH($A99,'Préstamos'!$A$2:$A$101,0))*(INDEX('Préstamos'!$G$2:$G$101,MATCH($A99,'Préstamos'!$A$2:$A$101,0))-1),INDEX('Préstamos'!$K$2:$K$101,MATCH($A99,'Préstamos'!$A$2:$A$101,0))))</f>
        <v/>
      </c>
      <c r="H99" s="29">
        <f>IF($A99="","",F99+G99)</f>
        <v/>
      </c>
      <c r="I99" s="14" t="n"/>
      <c r="J99" s="33" t="n"/>
      <c r="K99" s="16">
        <f>IF(OR($A99="",I99="Pagado"),"",MAX(0,TODAY()-E99))</f>
        <v/>
      </c>
      <c r="L99" s="16">
        <f>IF($A99="","",IF(I99="Pagado","Pagado",IF(E99&lt;TODAY(),"Atrasado",IF(E99&lt;=EOMONTH(TODAY(),0),"Este mes","Pendiente"))))</f>
        <v/>
      </c>
      <c r="M99" s="20">
        <f>IF(OR($A99="",I99="Pagado"),"",HYPERLINK("https://wa.me/"&amp;IF(INDEX('Préstamos'!$C$2:$C$101,MATCH($A99,'Préstamos'!$A$2:$A$101,0))="","","51"&amp;SUBSTITUTE(INDEX('Préstamos'!$C$2:$C$101,MATCH($A99,'Préstamos'!$A$2:$A$101,0))," ",""))&amp;"?text="&amp;SUBSTITUTE("Hola "&amp;B99&amp;", te recuerdo que tu cuota de S/ "&amp;H99&amp;IF(E99&lt;TODAY()," vencio el "," vence el ")&amp;TEXT(E99,"dd/mm")&amp;". Gracias!"," ","%20"),"WhatsApp"))</f>
        <v/>
      </c>
    </row>
    <row r="100">
      <c r="A100" s="14" t="n"/>
      <c r="B100" s="16">
        <f>IF($A100="","",INDEX('Préstamos'!$B$2:$B$101,MATCH($A100,'Préstamos'!$A$2:$A$101,0)))</f>
        <v/>
      </c>
      <c r="C100" s="14" t="n"/>
      <c r="D100" s="14" t="n"/>
      <c r="E100" s="33" t="n"/>
      <c r="F100" s="29">
        <f>IF($A100="","",IF(D100="Solo interés",0,IF(AND(D100&lt;&gt;"Solo interés",C100=INDEX('Préstamos'!$G$2:$G$101,MATCH($A100,'Préstamos'!$A$2:$A$101,0))),INDEX('Préstamos'!$D$2:$D$101,MATCH($A100,'Préstamos'!$A$2:$A$101,0))-INDEX('Préstamos'!$J$2:$J$101,MATCH($A100,'Préstamos'!$A$2:$A$101,0))*(INDEX('Préstamos'!$G$2:$G$101,MATCH($A100,'Préstamos'!$A$2:$A$101,0))-1),INDEX('Préstamos'!$J$2:$J$101,MATCH($A100,'Préstamos'!$A$2:$A$101,0)))))</f>
        <v/>
      </c>
      <c r="G100" s="29">
        <f>IF($A100="","",IF(AND(D100&lt;&gt;"Solo interés",C100=INDEX('Préstamos'!$G$2:$G$101,MATCH($A100,'Préstamos'!$A$2:$A$101,0))),INDEX('Préstamos'!$I$2:$I$101,MATCH($A100,'Préstamos'!$A$2:$A$101,0))-INDEX('Préstamos'!$K$2:$K$101,MATCH($A100,'Préstamos'!$A$2:$A$101,0))*(INDEX('Préstamos'!$G$2:$G$101,MATCH($A100,'Préstamos'!$A$2:$A$101,0))-1),INDEX('Préstamos'!$K$2:$K$101,MATCH($A100,'Préstamos'!$A$2:$A$101,0))))</f>
        <v/>
      </c>
      <c r="H100" s="29">
        <f>IF($A100="","",F100+G100)</f>
        <v/>
      </c>
      <c r="I100" s="14" t="n"/>
      <c r="J100" s="33" t="n"/>
      <c r="K100" s="16">
        <f>IF(OR($A100="",I100="Pagado"),"",MAX(0,TODAY()-E100))</f>
        <v/>
      </c>
      <c r="L100" s="16">
        <f>IF($A100="","",IF(I100="Pagado","Pagado",IF(E100&lt;TODAY(),"Atrasado",IF(E100&lt;=EOMONTH(TODAY(),0),"Este mes","Pendiente"))))</f>
        <v/>
      </c>
      <c r="M100" s="20">
        <f>IF(OR($A100="",I100="Pagado"),"",HYPERLINK("https://wa.me/"&amp;IF(INDEX('Préstamos'!$C$2:$C$101,MATCH($A100,'Préstamos'!$A$2:$A$101,0))="","","51"&amp;SUBSTITUTE(INDEX('Préstamos'!$C$2:$C$101,MATCH($A100,'Préstamos'!$A$2:$A$101,0))," ",""))&amp;"?text="&amp;SUBSTITUTE("Hola "&amp;B100&amp;", te recuerdo que tu cuota de S/ "&amp;H100&amp;IF(E100&lt;TODAY()," vencio el "," vence el ")&amp;TEXT(E100,"dd/mm")&amp;". Gracias!"," ","%20"),"WhatsApp"))</f>
        <v/>
      </c>
    </row>
    <row r="101">
      <c r="A101" s="14" t="n"/>
      <c r="B101" s="16">
        <f>IF($A101="","",INDEX('Préstamos'!$B$2:$B$101,MATCH($A101,'Préstamos'!$A$2:$A$101,0)))</f>
        <v/>
      </c>
      <c r="C101" s="14" t="n"/>
      <c r="D101" s="14" t="n"/>
      <c r="E101" s="33" t="n"/>
      <c r="F101" s="29">
        <f>IF($A101="","",IF(D101="Solo interés",0,IF(AND(D101&lt;&gt;"Solo interés",C101=INDEX('Préstamos'!$G$2:$G$101,MATCH($A101,'Préstamos'!$A$2:$A$101,0))),INDEX('Préstamos'!$D$2:$D$101,MATCH($A101,'Préstamos'!$A$2:$A$101,0))-INDEX('Préstamos'!$J$2:$J$101,MATCH($A101,'Préstamos'!$A$2:$A$101,0))*(INDEX('Préstamos'!$G$2:$G$101,MATCH($A101,'Préstamos'!$A$2:$A$101,0))-1),INDEX('Préstamos'!$J$2:$J$101,MATCH($A101,'Préstamos'!$A$2:$A$101,0)))))</f>
        <v/>
      </c>
      <c r="G101" s="29">
        <f>IF($A101="","",IF(AND(D101&lt;&gt;"Solo interés",C101=INDEX('Préstamos'!$G$2:$G$101,MATCH($A101,'Préstamos'!$A$2:$A$101,0))),INDEX('Préstamos'!$I$2:$I$101,MATCH($A101,'Préstamos'!$A$2:$A$101,0))-INDEX('Préstamos'!$K$2:$K$101,MATCH($A101,'Préstamos'!$A$2:$A$101,0))*(INDEX('Préstamos'!$G$2:$G$101,MATCH($A101,'Préstamos'!$A$2:$A$101,0))-1),INDEX('Préstamos'!$K$2:$K$101,MATCH($A101,'Préstamos'!$A$2:$A$101,0))))</f>
        <v/>
      </c>
      <c r="H101" s="29">
        <f>IF($A101="","",F101+G101)</f>
        <v/>
      </c>
      <c r="I101" s="14" t="n"/>
      <c r="J101" s="33" t="n"/>
      <c r="K101" s="16">
        <f>IF(OR($A101="",I101="Pagado"),"",MAX(0,TODAY()-E101))</f>
        <v/>
      </c>
      <c r="L101" s="16">
        <f>IF($A101="","",IF(I101="Pagado","Pagado",IF(E101&lt;TODAY(),"Atrasado",IF(E101&lt;=EOMONTH(TODAY(),0),"Este mes","Pendiente"))))</f>
        <v/>
      </c>
      <c r="M101" s="20">
        <f>IF(OR($A101="",I101="Pagado"),"",HYPERLINK("https://wa.me/"&amp;IF(INDEX('Préstamos'!$C$2:$C$101,MATCH($A101,'Préstamos'!$A$2:$A$101,0))="","","51"&amp;SUBSTITUTE(INDEX('Préstamos'!$C$2:$C$101,MATCH($A101,'Préstamos'!$A$2:$A$101,0))," ",""))&amp;"?text="&amp;SUBSTITUTE("Hola "&amp;B101&amp;", te recuerdo que tu cuota de S/ "&amp;H101&amp;IF(E101&lt;TODAY()," vencio el "," vence el ")&amp;TEXT(E101,"dd/mm")&amp;". Gracias!"," ","%20"),"WhatsApp"))</f>
        <v/>
      </c>
    </row>
    <row r="102">
      <c r="A102" s="14" t="n"/>
      <c r="B102" s="16">
        <f>IF($A102="","",INDEX('Préstamos'!$B$2:$B$101,MATCH($A102,'Préstamos'!$A$2:$A$101,0)))</f>
        <v/>
      </c>
      <c r="C102" s="14" t="n"/>
      <c r="D102" s="14" t="n"/>
      <c r="E102" s="33" t="n"/>
      <c r="F102" s="29">
        <f>IF($A102="","",IF(D102="Solo interés",0,IF(AND(D102&lt;&gt;"Solo interés",C102=INDEX('Préstamos'!$G$2:$G$101,MATCH($A102,'Préstamos'!$A$2:$A$101,0))),INDEX('Préstamos'!$D$2:$D$101,MATCH($A102,'Préstamos'!$A$2:$A$101,0))-INDEX('Préstamos'!$J$2:$J$101,MATCH($A102,'Préstamos'!$A$2:$A$101,0))*(INDEX('Préstamos'!$G$2:$G$101,MATCH($A102,'Préstamos'!$A$2:$A$101,0))-1),INDEX('Préstamos'!$J$2:$J$101,MATCH($A102,'Préstamos'!$A$2:$A$101,0)))))</f>
        <v/>
      </c>
      <c r="G102" s="29">
        <f>IF($A102="","",IF(AND(D102&lt;&gt;"Solo interés",C102=INDEX('Préstamos'!$G$2:$G$101,MATCH($A102,'Préstamos'!$A$2:$A$101,0))),INDEX('Préstamos'!$I$2:$I$101,MATCH($A102,'Préstamos'!$A$2:$A$101,0))-INDEX('Préstamos'!$K$2:$K$101,MATCH($A102,'Préstamos'!$A$2:$A$101,0))*(INDEX('Préstamos'!$G$2:$G$101,MATCH($A102,'Préstamos'!$A$2:$A$101,0))-1),INDEX('Préstamos'!$K$2:$K$101,MATCH($A102,'Préstamos'!$A$2:$A$101,0))))</f>
        <v/>
      </c>
      <c r="H102" s="29">
        <f>IF($A102="","",F102+G102)</f>
        <v/>
      </c>
      <c r="I102" s="14" t="n"/>
      <c r="J102" s="33" t="n"/>
      <c r="K102" s="16">
        <f>IF(OR($A102="",I102="Pagado"),"",MAX(0,TODAY()-E102))</f>
        <v/>
      </c>
      <c r="L102" s="16">
        <f>IF($A102="","",IF(I102="Pagado","Pagado",IF(E102&lt;TODAY(),"Atrasado",IF(E102&lt;=EOMONTH(TODAY(),0),"Este mes","Pendiente"))))</f>
        <v/>
      </c>
      <c r="M102" s="20">
        <f>IF(OR($A102="",I102="Pagado"),"",HYPERLINK("https://wa.me/"&amp;IF(INDEX('Préstamos'!$C$2:$C$101,MATCH($A102,'Préstamos'!$A$2:$A$101,0))="","","51"&amp;SUBSTITUTE(INDEX('Préstamos'!$C$2:$C$101,MATCH($A102,'Préstamos'!$A$2:$A$101,0))," ",""))&amp;"?text="&amp;SUBSTITUTE("Hola "&amp;B102&amp;", te recuerdo que tu cuota de S/ "&amp;H102&amp;IF(E102&lt;TODAY()," vencio el "," vence el ")&amp;TEXT(E102,"dd/mm")&amp;". Gracias!"," ","%20"),"WhatsApp"))</f>
        <v/>
      </c>
    </row>
    <row r="103">
      <c r="A103" s="14" t="n"/>
      <c r="B103" s="16">
        <f>IF($A103="","",INDEX('Préstamos'!$B$2:$B$101,MATCH($A103,'Préstamos'!$A$2:$A$101,0)))</f>
        <v/>
      </c>
      <c r="C103" s="14" t="n"/>
      <c r="D103" s="14" t="n"/>
      <c r="E103" s="33" t="n"/>
      <c r="F103" s="29">
        <f>IF($A103="","",IF(D103="Solo interés",0,IF(AND(D103&lt;&gt;"Solo interés",C103=INDEX('Préstamos'!$G$2:$G$101,MATCH($A103,'Préstamos'!$A$2:$A$101,0))),INDEX('Préstamos'!$D$2:$D$101,MATCH($A103,'Préstamos'!$A$2:$A$101,0))-INDEX('Préstamos'!$J$2:$J$101,MATCH($A103,'Préstamos'!$A$2:$A$101,0))*(INDEX('Préstamos'!$G$2:$G$101,MATCH($A103,'Préstamos'!$A$2:$A$101,0))-1),INDEX('Préstamos'!$J$2:$J$101,MATCH($A103,'Préstamos'!$A$2:$A$101,0)))))</f>
        <v/>
      </c>
      <c r="G103" s="29">
        <f>IF($A103="","",IF(AND(D103&lt;&gt;"Solo interés",C103=INDEX('Préstamos'!$G$2:$G$101,MATCH($A103,'Préstamos'!$A$2:$A$101,0))),INDEX('Préstamos'!$I$2:$I$101,MATCH($A103,'Préstamos'!$A$2:$A$101,0))-INDEX('Préstamos'!$K$2:$K$101,MATCH($A103,'Préstamos'!$A$2:$A$101,0))*(INDEX('Préstamos'!$G$2:$G$101,MATCH($A103,'Préstamos'!$A$2:$A$101,0))-1),INDEX('Préstamos'!$K$2:$K$101,MATCH($A103,'Préstamos'!$A$2:$A$101,0))))</f>
        <v/>
      </c>
      <c r="H103" s="29">
        <f>IF($A103="","",F103+G103)</f>
        <v/>
      </c>
      <c r="I103" s="14" t="n"/>
      <c r="J103" s="33" t="n"/>
      <c r="K103" s="16">
        <f>IF(OR($A103="",I103="Pagado"),"",MAX(0,TODAY()-E103))</f>
        <v/>
      </c>
      <c r="L103" s="16">
        <f>IF($A103="","",IF(I103="Pagado","Pagado",IF(E103&lt;TODAY(),"Atrasado",IF(E103&lt;=EOMONTH(TODAY(),0),"Este mes","Pendiente"))))</f>
        <v/>
      </c>
      <c r="M103" s="20">
        <f>IF(OR($A103="",I103="Pagado"),"",HYPERLINK("https://wa.me/"&amp;IF(INDEX('Préstamos'!$C$2:$C$101,MATCH($A103,'Préstamos'!$A$2:$A$101,0))="","","51"&amp;SUBSTITUTE(INDEX('Préstamos'!$C$2:$C$101,MATCH($A103,'Préstamos'!$A$2:$A$101,0))," ",""))&amp;"?text="&amp;SUBSTITUTE("Hola "&amp;B103&amp;", te recuerdo que tu cuota de S/ "&amp;H103&amp;IF(E103&lt;TODAY()," vencio el "," vence el ")&amp;TEXT(E103,"dd/mm")&amp;". Gracias!"," ","%20"),"WhatsApp"))</f>
        <v/>
      </c>
    </row>
    <row r="104">
      <c r="A104" s="14" t="n"/>
      <c r="B104" s="16">
        <f>IF($A104="","",INDEX('Préstamos'!$B$2:$B$101,MATCH($A104,'Préstamos'!$A$2:$A$101,0)))</f>
        <v/>
      </c>
      <c r="C104" s="14" t="n"/>
      <c r="D104" s="14" t="n"/>
      <c r="E104" s="33" t="n"/>
      <c r="F104" s="29">
        <f>IF($A104="","",IF(D104="Solo interés",0,IF(AND(D104&lt;&gt;"Solo interés",C104=INDEX('Préstamos'!$G$2:$G$101,MATCH($A104,'Préstamos'!$A$2:$A$101,0))),INDEX('Préstamos'!$D$2:$D$101,MATCH($A104,'Préstamos'!$A$2:$A$101,0))-INDEX('Préstamos'!$J$2:$J$101,MATCH($A104,'Préstamos'!$A$2:$A$101,0))*(INDEX('Préstamos'!$G$2:$G$101,MATCH($A104,'Préstamos'!$A$2:$A$101,0))-1),INDEX('Préstamos'!$J$2:$J$101,MATCH($A104,'Préstamos'!$A$2:$A$101,0)))))</f>
        <v/>
      </c>
      <c r="G104" s="29">
        <f>IF($A104="","",IF(AND(D104&lt;&gt;"Solo interés",C104=INDEX('Préstamos'!$G$2:$G$101,MATCH($A104,'Préstamos'!$A$2:$A$101,0))),INDEX('Préstamos'!$I$2:$I$101,MATCH($A104,'Préstamos'!$A$2:$A$101,0))-INDEX('Préstamos'!$K$2:$K$101,MATCH($A104,'Préstamos'!$A$2:$A$101,0))*(INDEX('Préstamos'!$G$2:$G$101,MATCH($A104,'Préstamos'!$A$2:$A$101,0))-1),INDEX('Préstamos'!$K$2:$K$101,MATCH($A104,'Préstamos'!$A$2:$A$101,0))))</f>
        <v/>
      </c>
      <c r="H104" s="29">
        <f>IF($A104="","",F104+G104)</f>
        <v/>
      </c>
      <c r="I104" s="14" t="n"/>
      <c r="J104" s="33" t="n"/>
      <c r="K104" s="16">
        <f>IF(OR($A104="",I104="Pagado"),"",MAX(0,TODAY()-E104))</f>
        <v/>
      </c>
      <c r="L104" s="16">
        <f>IF($A104="","",IF(I104="Pagado","Pagado",IF(E104&lt;TODAY(),"Atrasado",IF(E104&lt;=EOMONTH(TODAY(),0),"Este mes","Pendiente"))))</f>
        <v/>
      </c>
      <c r="M104" s="20">
        <f>IF(OR($A104="",I104="Pagado"),"",HYPERLINK("https://wa.me/"&amp;IF(INDEX('Préstamos'!$C$2:$C$101,MATCH($A104,'Préstamos'!$A$2:$A$101,0))="","","51"&amp;SUBSTITUTE(INDEX('Préstamos'!$C$2:$C$101,MATCH($A104,'Préstamos'!$A$2:$A$101,0))," ",""))&amp;"?text="&amp;SUBSTITUTE("Hola "&amp;B104&amp;", te recuerdo que tu cuota de S/ "&amp;H104&amp;IF(E104&lt;TODAY()," vencio el "," vence el ")&amp;TEXT(E104,"dd/mm")&amp;". Gracias!"," ","%20"),"WhatsApp"))</f>
        <v/>
      </c>
    </row>
    <row r="105">
      <c r="A105" s="14" t="n"/>
      <c r="B105" s="16">
        <f>IF($A105="","",INDEX('Préstamos'!$B$2:$B$101,MATCH($A105,'Préstamos'!$A$2:$A$101,0)))</f>
        <v/>
      </c>
      <c r="C105" s="14" t="n"/>
      <c r="D105" s="14" t="n"/>
      <c r="E105" s="33" t="n"/>
      <c r="F105" s="29">
        <f>IF($A105="","",IF(D105="Solo interés",0,IF(AND(D105&lt;&gt;"Solo interés",C105=INDEX('Préstamos'!$G$2:$G$101,MATCH($A105,'Préstamos'!$A$2:$A$101,0))),INDEX('Préstamos'!$D$2:$D$101,MATCH($A105,'Préstamos'!$A$2:$A$101,0))-INDEX('Préstamos'!$J$2:$J$101,MATCH($A105,'Préstamos'!$A$2:$A$101,0))*(INDEX('Préstamos'!$G$2:$G$101,MATCH($A105,'Préstamos'!$A$2:$A$101,0))-1),INDEX('Préstamos'!$J$2:$J$101,MATCH($A105,'Préstamos'!$A$2:$A$101,0)))))</f>
        <v/>
      </c>
      <c r="G105" s="29">
        <f>IF($A105="","",IF(AND(D105&lt;&gt;"Solo interés",C105=INDEX('Préstamos'!$G$2:$G$101,MATCH($A105,'Préstamos'!$A$2:$A$101,0))),INDEX('Préstamos'!$I$2:$I$101,MATCH($A105,'Préstamos'!$A$2:$A$101,0))-INDEX('Préstamos'!$K$2:$K$101,MATCH($A105,'Préstamos'!$A$2:$A$101,0))*(INDEX('Préstamos'!$G$2:$G$101,MATCH($A105,'Préstamos'!$A$2:$A$101,0))-1),INDEX('Préstamos'!$K$2:$K$101,MATCH($A105,'Préstamos'!$A$2:$A$101,0))))</f>
        <v/>
      </c>
      <c r="H105" s="29">
        <f>IF($A105="","",F105+G105)</f>
        <v/>
      </c>
      <c r="I105" s="14" t="n"/>
      <c r="J105" s="33" t="n"/>
      <c r="K105" s="16">
        <f>IF(OR($A105="",I105="Pagado"),"",MAX(0,TODAY()-E105))</f>
        <v/>
      </c>
      <c r="L105" s="16">
        <f>IF($A105="","",IF(I105="Pagado","Pagado",IF(E105&lt;TODAY(),"Atrasado",IF(E105&lt;=EOMONTH(TODAY(),0),"Este mes","Pendiente"))))</f>
        <v/>
      </c>
      <c r="M105" s="20">
        <f>IF(OR($A105="",I105="Pagado"),"",HYPERLINK("https://wa.me/"&amp;IF(INDEX('Préstamos'!$C$2:$C$101,MATCH($A105,'Préstamos'!$A$2:$A$101,0))="","","51"&amp;SUBSTITUTE(INDEX('Préstamos'!$C$2:$C$101,MATCH($A105,'Préstamos'!$A$2:$A$101,0))," ",""))&amp;"?text="&amp;SUBSTITUTE("Hola "&amp;B105&amp;", te recuerdo que tu cuota de S/ "&amp;H105&amp;IF(E105&lt;TODAY()," vencio el "," vence el ")&amp;TEXT(E105,"dd/mm")&amp;". Gracias!"," ","%20"),"WhatsApp"))</f>
        <v/>
      </c>
    </row>
    <row r="106">
      <c r="A106" s="14" t="n"/>
      <c r="B106" s="16">
        <f>IF($A106="","",INDEX('Préstamos'!$B$2:$B$101,MATCH($A106,'Préstamos'!$A$2:$A$101,0)))</f>
        <v/>
      </c>
      <c r="C106" s="14" t="n"/>
      <c r="D106" s="14" t="n"/>
      <c r="E106" s="33" t="n"/>
      <c r="F106" s="29">
        <f>IF($A106="","",IF(D106="Solo interés",0,IF(AND(D106&lt;&gt;"Solo interés",C106=INDEX('Préstamos'!$G$2:$G$101,MATCH($A106,'Préstamos'!$A$2:$A$101,0))),INDEX('Préstamos'!$D$2:$D$101,MATCH($A106,'Préstamos'!$A$2:$A$101,0))-INDEX('Préstamos'!$J$2:$J$101,MATCH($A106,'Préstamos'!$A$2:$A$101,0))*(INDEX('Préstamos'!$G$2:$G$101,MATCH($A106,'Préstamos'!$A$2:$A$101,0))-1),INDEX('Préstamos'!$J$2:$J$101,MATCH($A106,'Préstamos'!$A$2:$A$101,0)))))</f>
        <v/>
      </c>
      <c r="G106" s="29">
        <f>IF($A106="","",IF(AND(D106&lt;&gt;"Solo interés",C106=INDEX('Préstamos'!$G$2:$G$101,MATCH($A106,'Préstamos'!$A$2:$A$101,0))),INDEX('Préstamos'!$I$2:$I$101,MATCH($A106,'Préstamos'!$A$2:$A$101,0))-INDEX('Préstamos'!$K$2:$K$101,MATCH($A106,'Préstamos'!$A$2:$A$101,0))*(INDEX('Préstamos'!$G$2:$G$101,MATCH($A106,'Préstamos'!$A$2:$A$101,0))-1),INDEX('Préstamos'!$K$2:$K$101,MATCH($A106,'Préstamos'!$A$2:$A$101,0))))</f>
        <v/>
      </c>
      <c r="H106" s="29">
        <f>IF($A106="","",F106+G106)</f>
        <v/>
      </c>
      <c r="I106" s="14" t="n"/>
      <c r="J106" s="33" t="n"/>
      <c r="K106" s="16">
        <f>IF(OR($A106="",I106="Pagado"),"",MAX(0,TODAY()-E106))</f>
        <v/>
      </c>
      <c r="L106" s="16">
        <f>IF($A106="","",IF(I106="Pagado","Pagado",IF(E106&lt;TODAY(),"Atrasado",IF(E106&lt;=EOMONTH(TODAY(),0),"Este mes","Pendiente"))))</f>
        <v/>
      </c>
      <c r="M106" s="20">
        <f>IF(OR($A106="",I106="Pagado"),"",HYPERLINK("https://wa.me/"&amp;IF(INDEX('Préstamos'!$C$2:$C$101,MATCH($A106,'Préstamos'!$A$2:$A$101,0))="","","51"&amp;SUBSTITUTE(INDEX('Préstamos'!$C$2:$C$101,MATCH($A106,'Préstamos'!$A$2:$A$101,0))," ",""))&amp;"?text="&amp;SUBSTITUTE("Hola "&amp;B106&amp;", te recuerdo que tu cuota de S/ "&amp;H106&amp;IF(E106&lt;TODAY()," vencio el "," vence el ")&amp;TEXT(E106,"dd/mm")&amp;". Gracias!"," ","%20"),"WhatsApp"))</f>
        <v/>
      </c>
    </row>
    <row r="107">
      <c r="A107" s="14" t="n"/>
      <c r="B107" s="16">
        <f>IF($A107="","",INDEX('Préstamos'!$B$2:$B$101,MATCH($A107,'Préstamos'!$A$2:$A$101,0)))</f>
        <v/>
      </c>
      <c r="C107" s="14" t="n"/>
      <c r="D107" s="14" t="n"/>
      <c r="E107" s="33" t="n"/>
      <c r="F107" s="29">
        <f>IF($A107="","",IF(D107="Solo interés",0,IF(AND(D107&lt;&gt;"Solo interés",C107=INDEX('Préstamos'!$G$2:$G$101,MATCH($A107,'Préstamos'!$A$2:$A$101,0))),INDEX('Préstamos'!$D$2:$D$101,MATCH($A107,'Préstamos'!$A$2:$A$101,0))-INDEX('Préstamos'!$J$2:$J$101,MATCH($A107,'Préstamos'!$A$2:$A$101,0))*(INDEX('Préstamos'!$G$2:$G$101,MATCH($A107,'Préstamos'!$A$2:$A$101,0))-1),INDEX('Préstamos'!$J$2:$J$101,MATCH($A107,'Préstamos'!$A$2:$A$101,0)))))</f>
        <v/>
      </c>
      <c r="G107" s="29">
        <f>IF($A107="","",IF(AND(D107&lt;&gt;"Solo interés",C107=INDEX('Préstamos'!$G$2:$G$101,MATCH($A107,'Préstamos'!$A$2:$A$101,0))),INDEX('Préstamos'!$I$2:$I$101,MATCH($A107,'Préstamos'!$A$2:$A$101,0))-INDEX('Préstamos'!$K$2:$K$101,MATCH($A107,'Préstamos'!$A$2:$A$101,0))*(INDEX('Préstamos'!$G$2:$G$101,MATCH($A107,'Préstamos'!$A$2:$A$101,0))-1),INDEX('Préstamos'!$K$2:$K$101,MATCH($A107,'Préstamos'!$A$2:$A$101,0))))</f>
        <v/>
      </c>
      <c r="H107" s="29">
        <f>IF($A107="","",F107+G107)</f>
        <v/>
      </c>
      <c r="I107" s="14" t="n"/>
      <c r="J107" s="33" t="n"/>
      <c r="K107" s="16">
        <f>IF(OR($A107="",I107="Pagado"),"",MAX(0,TODAY()-E107))</f>
        <v/>
      </c>
      <c r="L107" s="16">
        <f>IF($A107="","",IF(I107="Pagado","Pagado",IF(E107&lt;TODAY(),"Atrasado",IF(E107&lt;=EOMONTH(TODAY(),0),"Este mes","Pendiente"))))</f>
        <v/>
      </c>
      <c r="M107" s="20">
        <f>IF(OR($A107="",I107="Pagado"),"",HYPERLINK("https://wa.me/"&amp;IF(INDEX('Préstamos'!$C$2:$C$101,MATCH($A107,'Préstamos'!$A$2:$A$101,0))="","","51"&amp;SUBSTITUTE(INDEX('Préstamos'!$C$2:$C$101,MATCH($A107,'Préstamos'!$A$2:$A$101,0))," ",""))&amp;"?text="&amp;SUBSTITUTE("Hola "&amp;B107&amp;", te recuerdo que tu cuota de S/ "&amp;H107&amp;IF(E107&lt;TODAY()," vencio el "," vence el ")&amp;TEXT(E107,"dd/mm")&amp;". Gracias!"," ","%20"),"WhatsApp"))</f>
        <v/>
      </c>
    </row>
    <row r="108">
      <c r="A108" s="14" t="n"/>
      <c r="B108" s="16">
        <f>IF($A108="","",INDEX('Préstamos'!$B$2:$B$101,MATCH($A108,'Préstamos'!$A$2:$A$101,0)))</f>
        <v/>
      </c>
      <c r="C108" s="14" t="n"/>
      <c r="D108" s="14" t="n"/>
      <c r="E108" s="33" t="n"/>
      <c r="F108" s="29">
        <f>IF($A108="","",IF(D108="Solo interés",0,IF(AND(D108&lt;&gt;"Solo interés",C108=INDEX('Préstamos'!$G$2:$G$101,MATCH($A108,'Préstamos'!$A$2:$A$101,0))),INDEX('Préstamos'!$D$2:$D$101,MATCH($A108,'Préstamos'!$A$2:$A$101,0))-INDEX('Préstamos'!$J$2:$J$101,MATCH($A108,'Préstamos'!$A$2:$A$101,0))*(INDEX('Préstamos'!$G$2:$G$101,MATCH($A108,'Préstamos'!$A$2:$A$101,0))-1),INDEX('Préstamos'!$J$2:$J$101,MATCH($A108,'Préstamos'!$A$2:$A$101,0)))))</f>
        <v/>
      </c>
      <c r="G108" s="29">
        <f>IF($A108="","",IF(AND(D108&lt;&gt;"Solo interés",C108=INDEX('Préstamos'!$G$2:$G$101,MATCH($A108,'Préstamos'!$A$2:$A$101,0))),INDEX('Préstamos'!$I$2:$I$101,MATCH($A108,'Préstamos'!$A$2:$A$101,0))-INDEX('Préstamos'!$K$2:$K$101,MATCH($A108,'Préstamos'!$A$2:$A$101,0))*(INDEX('Préstamos'!$G$2:$G$101,MATCH($A108,'Préstamos'!$A$2:$A$101,0))-1),INDEX('Préstamos'!$K$2:$K$101,MATCH($A108,'Préstamos'!$A$2:$A$101,0))))</f>
        <v/>
      </c>
      <c r="H108" s="29">
        <f>IF($A108="","",F108+G108)</f>
        <v/>
      </c>
      <c r="I108" s="14" t="n"/>
      <c r="J108" s="33" t="n"/>
      <c r="K108" s="16">
        <f>IF(OR($A108="",I108="Pagado"),"",MAX(0,TODAY()-E108))</f>
        <v/>
      </c>
      <c r="L108" s="16">
        <f>IF($A108="","",IF(I108="Pagado","Pagado",IF(E108&lt;TODAY(),"Atrasado",IF(E108&lt;=EOMONTH(TODAY(),0),"Este mes","Pendiente"))))</f>
        <v/>
      </c>
      <c r="M108" s="20">
        <f>IF(OR($A108="",I108="Pagado"),"",HYPERLINK("https://wa.me/"&amp;IF(INDEX('Préstamos'!$C$2:$C$101,MATCH($A108,'Préstamos'!$A$2:$A$101,0))="","","51"&amp;SUBSTITUTE(INDEX('Préstamos'!$C$2:$C$101,MATCH($A108,'Préstamos'!$A$2:$A$101,0))," ",""))&amp;"?text="&amp;SUBSTITUTE("Hola "&amp;B108&amp;", te recuerdo que tu cuota de S/ "&amp;H108&amp;IF(E108&lt;TODAY()," vencio el "," vence el ")&amp;TEXT(E108,"dd/mm")&amp;". Gracias!"," ","%20"),"WhatsApp"))</f>
        <v/>
      </c>
    </row>
    <row r="109">
      <c r="A109" s="14" t="n"/>
      <c r="B109" s="16">
        <f>IF($A109="","",INDEX('Préstamos'!$B$2:$B$101,MATCH($A109,'Préstamos'!$A$2:$A$101,0)))</f>
        <v/>
      </c>
      <c r="C109" s="14" t="n"/>
      <c r="D109" s="14" t="n"/>
      <c r="E109" s="33" t="n"/>
      <c r="F109" s="29">
        <f>IF($A109="","",IF(D109="Solo interés",0,IF(AND(D109&lt;&gt;"Solo interés",C109=INDEX('Préstamos'!$G$2:$G$101,MATCH($A109,'Préstamos'!$A$2:$A$101,0))),INDEX('Préstamos'!$D$2:$D$101,MATCH($A109,'Préstamos'!$A$2:$A$101,0))-INDEX('Préstamos'!$J$2:$J$101,MATCH($A109,'Préstamos'!$A$2:$A$101,0))*(INDEX('Préstamos'!$G$2:$G$101,MATCH($A109,'Préstamos'!$A$2:$A$101,0))-1),INDEX('Préstamos'!$J$2:$J$101,MATCH($A109,'Préstamos'!$A$2:$A$101,0)))))</f>
        <v/>
      </c>
      <c r="G109" s="29">
        <f>IF($A109="","",IF(AND(D109&lt;&gt;"Solo interés",C109=INDEX('Préstamos'!$G$2:$G$101,MATCH($A109,'Préstamos'!$A$2:$A$101,0))),INDEX('Préstamos'!$I$2:$I$101,MATCH($A109,'Préstamos'!$A$2:$A$101,0))-INDEX('Préstamos'!$K$2:$K$101,MATCH($A109,'Préstamos'!$A$2:$A$101,0))*(INDEX('Préstamos'!$G$2:$G$101,MATCH($A109,'Préstamos'!$A$2:$A$101,0))-1),INDEX('Préstamos'!$K$2:$K$101,MATCH($A109,'Préstamos'!$A$2:$A$101,0))))</f>
        <v/>
      </c>
      <c r="H109" s="29">
        <f>IF($A109="","",F109+G109)</f>
        <v/>
      </c>
      <c r="I109" s="14" t="n"/>
      <c r="J109" s="33" t="n"/>
      <c r="K109" s="16">
        <f>IF(OR($A109="",I109="Pagado"),"",MAX(0,TODAY()-E109))</f>
        <v/>
      </c>
      <c r="L109" s="16">
        <f>IF($A109="","",IF(I109="Pagado","Pagado",IF(E109&lt;TODAY(),"Atrasado",IF(E109&lt;=EOMONTH(TODAY(),0),"Este mes","Pendiente"))))</f>
        <v/>
      </c>
      <c r="M109" s="20">
        <f>IF(OR($A109="",I109="Pagado"),"",HYPERLINK("https://wa.me/"&amp;IF(INDEX('Préstamos'!$C$2:$C$101,MATCH($A109,'Préstamos'!$A$2:$A$101,0))="","","51"&amp;SUBSTITUTE(INDEX('Préstamos'!$C$2:$C$101,MATCH($A109,'Préstamos'!$A$2:$A$101,0))," ",""))&amp;"?text="&amp;SUBSTITUTE("Hola "&amp;B109&amp;", te recuerdo que tu cuota de S/ "&amp;H109&amp;IF(E109&lt;TODAY()," vencio el "," vence el ")&amp;TEXT(E109,"dd/mm")&amp;". Gracias!"," ","%20"),"WhatsApp"))</f>
        <v/>
      </c>
    </row>
    <row r="110">
      <c r="A110" s="14" t="n"/>
      <c r="B110" s="16">
        <f>IF($A110="","",INDEX('Préstamos'!$B$2:$B$101,MATCH($A110,'Préstamos'!$A$2:$A$101,0)))</f>
        <v/>
      </c>
      <c r="C110" s="14" t="n"/>
      <c r="D110" s="14" t="n"/>
      <c r="E110" s="33" t="n"/>
      <c r="F110" s="29">
        <f>IF($A110="","",IF(D110="Solo interés",0,IF(AND(D110&lt;&gt;"Solo interés",C110=INDEX('Préstamos'!$G$2:$G$101,MATCH($A110,'Préstamos'!$A$2:$A$101,0))),INDEX('Préstamos'!$D$2:$D$101,MATCH($A110,'Préstamos'!$A$2:$A$101,0))-INDEX('Préstamos'!$J$2:$J$101,MATCH($A110,'Préstamos'!$A$2:$A$101,0))*(INDEX('Préstamos'!$G$2:$G$101,MATCH($A110,'Préstamos'!$A$2:$A$101,0))-1),INDEX('Préstamos'!$J$2:$J$101,MATCH($A110,'Préstamos'!$A$2:$A$101,0)))))</f>
        <v/>
      </c>
      <c r="G110" s="29">
        <f>IF($A110="","",IF(AND(D110&lt;&gt;"Solo interés",C110=INDEX('Préstamos'!$G$2:$G$101,MATCH($A110,'Préstamos'!$A$2:$A$101,0))),INDEX('Préstamos'!$I$2:$I$101,MATCH($A110,'Préstamos'!$A$2:$A$101,0))-INDEX('Préstamos'!$K$2:$K$101,MATCH($A110,'Préstamos'!$A$2:$A$101,0))*(INDEX('Préstamos'!$G$2:$G$101,MATCH($A110,'Préstamos'!$A$2:$A$101,0))-1),INDEX('Préstamos'!$K$2:$K$101,MATCH($A110,'Préstamos'!$A$2:$A$101,0))))</f>
        <v/>
      </c>
      <c r="H110" s="29">
        <f>IF($A110="","",F110+G110)</f>
        <v/>
      </c>
      <c r="I110" s="14" t="n"/>
      <c r="J110" s="33" t="n"/>
      <c r="K110" s="16">
        <f>IF(OR($A110="",I110="Pagado"),"",MAX(0,TODAY()-E110))</f>
        <v/>
      </c>
      <c r="L110" s="16">
        <f>IF($A110="","",IF(I110="Pagado","Pagado",IF(E110&lt;TODAY(),"Atrasado",IF(E110&lt;=EOMONTH(TODAY(),0),"Este mes","Pendiente"))))</f>
        <v/>
      </c>
      <c r="M110" s="20">
        <f>IF(OR($A110="",I110="Pagado"),"",HYPERLINK("https://wa.me/"&amp;IF(INDEX('Préstamos'!$C$2:$C$101,MATCH($A110,'Préstamos'!$A$2:$A$101,0))="","","51"&amp;SUBSTITUTE(INDEX('Préstamos'!$C$2:$C$101,MATCH($A110,'Préstamos'!$A$2:$A$101,0))," ",""))&amp;"?text="&amp;SUBSTITUTE("Hola "&amp;B110&amp;", te recuerdo que tu cuota de S/ "&amp;H110&amp;IF(E110&lt;TODAY()," vencio el "," vence el ")&amp;TEXT(E110,"dd/mm")&amp;". Gracias!"," ","%20"),"WhatsApp"))</f>
        <v/>
      </c>
    </row>
    <row r="111">
      <c r="A111" s="14" t="n"/>
      <c r="B111" s="16">
        <f>IF($A111="","",INDEX('Préstamos'!$B$2:$B$101,MATCH($A111,'Préstamos'!$A$2:$A$101,0)))</f>
        <v/>
      </c>
      <c r="C111" s="14" t="n"/>
      <c r="D111" s="14" t="n"/>
      <c r="E111" s="33" t="n"/>
      <c r="F111" s="29">
        <f>IF($A111="","",IF(D111="Solo interés",0,IF(AND(D111&lt;&gt;"Solo interés",C111=INDEX('Préstamos'!$G$2:$G$101,MATCH($A111,'Préstamos'!$A$2:$A$101,0))),INDEX('Préstamos'!$D$2:$D$101,MATCH($A111,'Préstamos'!$A$2:$A$101,0))-INDEX('Préstamos'!$J$2:$J$101,MATCH($A111,'Préstamos'!$A$2:$A$101,0))*(INDEX('Préstamos'!$G$2:$G$101,MATCH($A111,'Préstamos'!$A$2:$A$101,0))-1),INDEX('Préstamos'!$J$2:$J$101,MATCH($A111,'Préstamos'!$A$2:$A$101,0)))))</f>
        <v/>
      </c>
      <c r="G111" s="29">
        <f>IF($A111="","",IF(AND(D111&lt;&gt;"Solo interés",C111=INDEX('Préstamos'!$G$2:$G$101,MATCH($A111,'Préstamos'!$A$2:$A$101,0))),INDEX('Préstamos'!$I$2:$I$101,MATCH($A111,'Préstamos'!$A$2:$A$101,0))-INDEX('Préstamos'!$K$2:$K$101,MATCH($A111,'Préstamos'!$A$2:$A$101,0))*(INDEX('Préstamos'!$G$2:$G$101,MATCH($A111,'Préstamos'!$A$2:$A$101,0))-1),INDEX('Préstamos'!$K$2:$K$101,MATCH($A111,'Préstamos'!$A$2:$A$101,0))))</f>
        <v/>
      </c>
      <c r="H111" s="29">
        <f>IF($A111="","",F111+G111)</f>
        <v/>
      </c>
      <c r="I111" s="14" t="n"/>
      <c r="J111" s="33" t="n"/>
      <c r="K111" s="16">
        <f>IF(OR($A111="",I111="Pagado"),"",MAX(0,TODAY()-E111))</f>
        <v/>
      </c>
      <c r="L111" s="16">
        <f>IF($A111="","",IF(I111="Pagado","Pagado",IF(E111&lt;TODAY(),"Atrasado",IF(E111&lt;=EOMONTH(TODAY(),0),"Este mes","Pendiente"))))</f>
        <v/>
      </c>
      <c r="M111" s="20">
        <f>IF(OR($A111="",I111="Pagado"),"",HYPERLINK("https://wa.me/"&amp;IF(INDEX('Préstamos'!$C$2:$C$101,MATCH($A111,'Préstamos'!$A$2:$A$101,0))="","","51"&amp;SUBSTITUTE(INDEX('Préstamos'!$C$2:$C$101,MATCH($A111,'Préstamos'!$A$2:$A$101,0))," ",""))&amp;"?text="&amp;SUBSTITUTE("Hola "&amp;B111&amp;", te recuerdo que tu cuota de S/ "&amp;H111&amp;IF(E111&lt;TODAY()," vencio el "," vence el ")&amp;TEXT(E111,"dd/mm")&amp;". Gracias!"," ","%20"),"WhatsApp"))</f>
        <v/>
      </c>
    </row>
    <row r="112">
      <c r="A112" s="14" t="n"/>
      <c r="B112" s="16">
        <f>IF($A112="","",INDEX('Préstamos'!$B$2:$B$101,MATCH($A112,'Préstamos'!$A$2:$A$101,0)))</f>
        <v/>
      </c>
      <c r="C112" s="14" t="n"/>
      <c r="D112" s="14" t="n"/>
      <c r="E112" s="33" t="n"/>
      <c r="F112" s="29">
        <f>IF($A112="","",IF(D112="Solo interés",0,IF(AND(D112&lt;&gt;"Solo interés",C112=INDEX('Préstamos'!$G$2:$G$101,MATCH($A112,'Préstamos'!$A$2:$A$101,0))),INDEX('Préstamos'!$D$2:$D$101,MATCH($A112,'Préstamos'!$A$2:$A$101,0))-INDEX('Préstamos'!$J$2:$J$101,MATCH($A112,'Préstamos'!$A$2:$A$101,0))*(INDEX('Préstamos'!$G$2:$G$101,MATCH($A112,'Préstamos'!$A$2:$A$101,0))-1),INDEX('Préstamos'!$J$2:$J$101,MATCH($A112,'Préstamos'!$A$2:$A$101,0)))))</f>
        <v/>
      </c>
      <c r="G112" s="29">
        <f>IF($A112="","",IF(AND(D112&lt;&gt;"Solo interés",C112=INDEX('Préstamos'!$G$2:$G$101,MATCH($A112,'Préstamos'!$A$2:$A$101,0))),INDEX('Préstamos'!$I$2:$I$101,MATCH($A112,'Préstamos'!$A$2:$A$101,0))-INDEX('Préstamos'!$K$2:$K$101,MATCH($A112,'Préstamos'!$A$2:$A$101,0))*(INDEX('Préstamos'!$G$2:$G$101,MATCH($A112,'Préstamos'!$A$2:$A$101,0))-1),INDEX('Préstamos'!$K$2:$K$101,MATCH($A112,'Préstamos'!$A$2:$A$101,0))))</f>
        <v/>
      </c>
      <c r="H112" s="29">
        <f>IF($A112="","",F112+G112)</f>
        <v/>
      </c>
      <c r="I112" s="14" t="n"/>
      <c r="J112" s="33" t="n"/>
      <c r="K112" s="16">
        <f>IF(OR($A112="",I112="Pagado"),"",MAX(0,TODAY()-E112))</f>
        <v/>
      </c>
      <c r="L112" s="16">
        <f>IF($A112="","",IF(I112="Pagado","Pagado",IF(E112&lt;TODAY(),"Atrasado",IF(E112&lt;=EOMONTH(TODAY(),0),"Este mes","Pendiente"))))</f>
        <v/>
      </c>
      <c r="M112" s="20">
        <f>IF(OR($A112="",I112="Pagado"),"",HYPERLINK("https://wa.me/"&amp;IF(INDEX('Préstamos'!$C$2:$C$101,MATCH($A112,'Préstamos'!$A$2:$A$101,0))="","","51"&amp;SUBSTITUTE(INDEX('Préstamos'!$C$2:$C$101,MATCH($A112,'Préstamos'!$A$2:$A$101,0))," ",""))&amp;"?text="&amp;SUBSTITUTE("Hola "&amp;B112&amp;", te recuerdo que tu cuota de S/ "&amp;H112&amp;IF(E112&lt;TODAY()," vencio el "," vence el ")&amp;TEXT(E112,"dd/mm")&amp;". Gracias!"," ","%20"),"WhatsApp"))</f>
        <v/>
      </c>
    </row>
    <row r="113">
      <c r="A113" s="14" t="n"/>
      <c r="B113" s="16">
        <f>IF($A113="","",INDEX('Préstamos'!$B$2:$B$101,MATCH($A113,'Préstamos'!$A$2:$A$101,0)))</f>
        <v/>
      </c>
      <c r="C113" s="14" t="n"/>
      <c r="D113" s="14" t="n"/>
      <c r="E113" s="33" t="n"/>
      <c r="F113" s="29">
        <f>IF($A113="","",IF(D113="Solo interés",0,IF(AND(D113&lt;&gt;"Solo interés",C113=INDEX('Préstamos'!$G$2:$G$101,MATCH($A113,'Préstamos'!$A$2:$A$101,0))),INDEX('Préstamos'!$D$2:$D$101,MATCH($A113,'Préstamos'!$A$2:$A$101,0))-INDEX('Préstamos'!$J$2:$J$101,MATCH($A113,'Préstamos'!$A$2:$A$101,0))*(INDEX('Préstamos'!$G$2:$G$101,MATCH($A113,'Préstamos'!$A$2:$A$101,0))-1),INDEX('Préstamos'!$J$2:$J$101,MATCH($A113,'Préstamos'!$A$2:$A$101,0)))))</f>
        <v/>
      </c>
      <c r="G113" s="29">
        <f>IF($A113="","",IF(AND(D113&lt;&gt;"Solo interés",C113=INDEX('Préstamos'!$G$2:$G$101,MATCH($A113,'Préstamos'!$A$2:$A$101,0))),INDEX('Préstamos'!$I$2:$I$101,MATCH($A113,'Préstamos'!$A$2:$A$101,0))-INDEX('Préstamos'!$K$2:$K$101,MATCH($A113,'Préstamos'!$A$2:$A$101,0))*(INDEX('Préstamos'!$G$2:$G$101,MATCH($A113,'Préstamos'!$A$2:$A$101,0))-1),INDEX('Préstamos'!$K$2:$K$101,MATCH($A113,'Préstamos'!$A$2:$A$101,0))))</f>
        <v/>
      </c>
      <c r="H113" s="29">
        <f>IF($A113="","",F113+G113)</f>
        <v/>
      </c>
      <c r="I113" s="14" t="n"/>
      <c r="J113" s="33" t="n"/>
      <c r="K113" s="16">
        <f>IF(OR($A113="",I113="Pagado"),"",MAX(0,TODAY()-E113))</f>
        <v/>
      </c>
      <c r="L113" s="16">
        <f>IF($A113="","",IF(I113="Pagado","Pagado",IF(E113&lt;TODAY(),"Atrasado",IF(E113&lt;=EOMONTH(TODAY(),0),"Este mes","Pendiente"))))</f>
        <v/>
      </c>
      <c r="M113" s="20">
        <f>IF(OR($A113="",I113="Pagado"),"",HYPERLINK("https://wa.me/"&amp;IF(INDEX('Préstamos'!$C$2:$C$101,MATCH($A113,'Préstamos'!$A$2:$A$101,0))="","","51"&amp;SUBSTITUTE(INDEX('Préstamos'!$C$2:$C$101,MATCH($A113,'Préstamos'!$A$2:$A$101,0))," ",""))&amp;"?text="&amp;SUBSTITUTE("Hola "&amp;B113&amp;", te recuerdo que tu cuota de S/ "&amp;H113&amp;IF(E113&lt;TODAY()," vencio el "," vence el ")&amp;TEXT(E113,"dd/mm")&amp;". Gracias!"," ","%20"),"WhatsApp"))</f>
        <v/>
      </c>
    </row>
    <row r="114">
      <c r="A114" s="14" t="n"/>
      <c r="B114" s="16">
        <f>IF($A114="","",INDEX('Préstamos'!$B$2:$B$101,MATCH($A114,'Préstamos'!$A$2:$A$101,0)))</f>
        <v/>
      </c>
      <c r="C114" s="14" t="n"/>
      <c r="D114" s="14" t="n"/>
      <c r="E114" s="33" t="n"/>
      <c r="F114" s="29">
        <f>IF($A114="","",IF(D114="Solo interés",0,IF(AND(D114&lt;&gt;"Solo interés",C114=INDEX('Préstamos'!$G$2:$G$101,MATCH($A114,'Préstamos'!$A$2:$A$101,0))),INDEX('Préstamos'!$D$2:$D$101,MATCH($A114,'Préstamos'!$A$2:$A$101,0))-INDEX('Préstamos'!$J$2:$J$101,MATCH($A114,'Préstamos'!$A$2:$A$101,0))*(INDEX('Préstamos'!$G$2:$G$101,MATCH($A114,'Préstamos'!$A$2:$A$101,0))-1),INDEX('Préstamos'!$J$2:$J$101,MATCH($A114,'Préstamos'!$A$2:$A$101,0)))))</f>
        <v/>
      </c>
      <c r="G114" s="29">
        <f>IF($A114="","",IF(AND(D114&lt;&gt;"Solo interés",C114=INDEX('Préstamos'!$G$2:$G$101,MATCH($A114,'Préstamos'!$A$2:$A$101,0))),INDEX('Préstamos'!$I$2:$I$101,MATCH($A114,'Préstamos'!$A$2:$A$101,0))-INDEX('Préstamos'!$K$2:$K$101,MATCH($A114,'Préstamos'!$A$2:$A$101,0))*(INDEX('Préstamos'!$G$2:$G$101,MATCH($A114,'Préstamos'!$A$2:$A$101,0))-1),INDEX('Préstamos'!$K$2:$K$101,MATCH($A114,'Préstamos'!$A$2:$A$101,0))))</f>
        <v/>
      </c>
      <c r="H114" s="29">
        <f>IF($A114="","",F114+G114)</f>
        <v/>
      </c>
      <c r="I114" s="14" t="n"/>
      <c r="J114" s="33" t="n"/>
      <c r="K114" s="16">
        <f>IF(OR($A114="",I114="Pagado"),"",MAX(0,TODAY()-E114))</f>
        <v/>
      </c>
      <c r="L114" s="16">
        <f>IF($A114="","",IF(I114="Pagado","Pagado",IF(E114&lt;TODAY(),"Atrasado",IF(E114&lt;=EOMONTH(TODAY(),0),"Este mes","Pendiente"))))</f>
        <v/>
      </c>
      <c r="M114" s="20">
        <f>IF(OR($A114="",I114="Pagado"),"",HYPERLINK("https://wa.me/"&amp;IF(INDEX('Préstamos'!$C$2:$C$101,MATCH($A114,'Préstamos'!$A$2:$A$101,0))="","","51"&amp;SUBSTITUTE(INDEX('Préstamos'!$C$2:$C$101,MATCH($A114,'Préstamos'!$A$2:$A$101,0))," ",""))&amp;"?text="&amp;SUBSTITUTE("Hola "&amp;B114&amp;", te recuerdo que tu cuota de S/ "&amp;H114&amp;IF(E114&lt;TODAY()," vencio el "," vence el ")&amp;TEXT(E114,"dd/mm")&amp;". Gracias!"," ","%20"),"WhatsApp"))</f>
        <v/>
      </c>
    </row>
    <row r="115">
      <c r="A115" s="14" t="n"/>
      <c r="B115" s="16">
        <f>IF($A115="","",INDEX('Préstamos'!$B$2:$B$101,MATCH($A115,'Préstamos'!$A$2:$A$101,0)))</f>
        <v/>
      </c>
      <c r="C115" s="14" t="n"/>
      <c r="D115" s="14" t="n"/>
      <c r="E115" s="33" t="n"/>
      <c r="F115" s="29">
        <f>IF($A115="","",IF(D115="Solo interés",0,IF(AND(D115&lt;&gt;"Solo interés",C115=INDEX('Préstamos'!$G$2:$G$101,MATCH($A115,'Préstamos'!$A$2:$A$101,0))),INDEX('Préstamos'!$D$2:$D$101,MATCH($A115,'Préstamos'!$A$2:$A$101,0))-INDEX('Préstamos'!$J$2:$J$101,MATCH($A115,'Préstamos'!$A$2:$A$101,0))*(INDEX('Préstamos'!$G$2:$G$101,MATCH($A115,'Préstamos'!$A$2:$A$101,0))-1),INDEX('Préstamos'!$J$2:$J$101,MATCH($A115,'Préstamos'!$A$2:$A$101,0)))))</f>
        <v/>
      </c>
      <c r="G115" s="29">
        <f>IF($A115="","",IF(AND(D115&lt;&gt;"Solo interés",C115=INDEX('Préstamos'!$G$2:$G$101,MATCH($A115,'Préstamos'!$A$2:$A$101,0))),INDEX('Préstamos'!$I$2:$I$101,MATCH($A115,'Préstamos'!$A$2:$A$101,0))-INDEX('Préstamos'!$K$2:$K$101,MATCH($A115,'Préstamos'!$A$2:$A$101,0))*(INDEX('Préstamos'!$G$2:$G$101,MATCH($A115,'Préstamos'!$A$2:$A$101,0))-1),INDEX('Préstamos'!$K$2:$K$101,MATCH($A115,'Préstamos'!$A$2:$A$101,0))))</f>
        <v/>
      </c>
      <c r="H115" s="29">
        <f>IF($A115="","",F115+G115)</f>
        <v/>
      </c>
      <c r="I115" s="14" t="n"/>
      <c r="J115" s="33" t="n"/>
      <c r="K115" s="16">
        <f>IF(OR($A115="",I115="Pagado"),"",MAX(0,TODAY()-E115))</f>
        <v/>
      </c>
      <c r="L115" s="16">
        <f>IF($A115="","",IF(I115="Pagado","Pagado",IF(E115&lt;TODAY(),"Atrasado",IF(E115&lt;=EOMONTH(TODAY(),0),"Este mes","Pendiente"))))</f>
        <v/>
      </c>
      <c r="M115" s="20">
        <f>IF(OR($A115="",I115="Pagado"),"",HYPERLINK("https://wa.me/"&amp;IF(INDEX('Préstamos'!$C$2:$C$101,MATCH($A115,'Préstamos'!$A$2:$A$101,0))="","","51"&amp;SUBSTITUTE(INDEX('Préstamos'!$C$2:$C$101,MATCH($A115,'Préstamos'!$A$2:$A$101,0))," ",""))&amp;"?text="&amp;SUBSTITUTE("Hola "&amp;B115&amp;", te recuerdo que tu cuota de S/ "&amp;H115&amp;IF(E115&lt;TODAY()," vencio el "," vence el ")&amp;TEXT(E115,"dd/mm")&amp;". Gracias!"," ","%20"),"WhatsApp"))</f>
        <v/>
      </c>
    </row>
    <row r="116">
      <c r="A116" s="14" t="n"/>
      <c r="B116" s="16">
        <f>IF($A116="","",INDEX('Préstamos'!$B$2:$B$101,MATCH($A116,'Préstamos'!$A$2:$A$101,0)))</f>
        <v/>
      </c>
      <c r="C116" s="14" t="n"/>
      <c r="D116" s="14" t="n"/>
      <c r="E116" s="33" t="n"/>
      <c r="F116" s="29">
        <f>IF($A116="","",IF(D116="Solo interés",0,IF(AND(D116&lt;&gt;"Solo interés",C116=INDEX('Préstamos'!$G$2:$G$101,MATCH($A116,'Préstamos'!$A$2:$A$101,0))),INDEX('Préstamos'!$D$2:$D$101,MATCH($A116,'Préstamos'!$A$2:$A$101,0))-INDEX('Préstamos'!$J$2:$J$101,MATCH($A116,'Préstamos'!$A$2:$A$101,0))*(INDEX('Préstamos'!$G$2:$G$101,MATCH($A116,'Préstamos'!$A$2:$A$101,0))-1),INDEX('Préstamos'!$J$2:$J$101,MATCH($A116,'Préstamos'!$A$2:$A$101,0)))))</f>
        <v/>
      </c>
      <c r="G116" s="29">
        <f>IF($A116="","",IF(AND(D116&lt;&gt;"Solo interés",C116=INDEX('Préstamos'!$G$2:$G$101,MATCH($A116,'Préstamos'!$A$2:$A$101,0))),INDEX('Préstamos'!$I$2:$I$101,MATCH($A116,'Préstamos'!$A$2:$A$101,0))-INDEX('Préstamos'!$K$2:$K$101,MATCH($A116,'Préstamos'!$A$2:$A$101,0))*(INDEX('Préstamos'!$G$2:$G$101,MATCH($A116,'Préstamos'!$A$2:$A$101,0))-1),INDEX('Préstamos'!$K$2:$K$101,MATCH($A116,'Préstamos'!$A$2:$A$101,0))))</f>
        <v/>
      </c>
      <c r="H116" s="29">
        <f>IF($A116="","",F116+G116)</f>
        <v/>
      </c>
      <c r="I116" s="14" t="n"/>
      <c r="J116" s="33" t="n"/>
      <c r="K116" s="16">
        <f>IF(OR($A116="",I116="Pagado"),"",MAX(0,TODAY()-E116))</f>
        <v/>
      </c>
      <c r="L116" s="16">
        <f>IF($A116="","",IF(I116="Pagado","Pagado",IF(E116&lt;TODAY(),"Atrasado",IF(E116&lt;=EOMONTH(TODAY(),0),"Este mes","Pendiente"))))</f>
        <v/>
      </c>
      <c r="M116" s="20">
        <f>IF(OR($A116="",I116="Pagado"),"",HYPERLINK("https://wa.me/"&amp;IF(INDEX('Préstamos'!$C$2:$C$101,MATCH($A116,'Préstamos'!$A$2:$A$101,0))="","","51"&amp;SUBSTITUTE(INDEX('Préstamos'!$C$2:$C$101,MATCH($A116,'Préstamos'!$A$2:$A$101,0))," ",""))&amp;"?text="&amp;SUBSTITUTE("Hola "&amp;B116&amp;", te recuerdo que tu cuota de S/ "&amp;H116&amp;IF(E116&lt;TODAY()," vencio el "," vence el ")&amp;TEXT(E116,"dd/mm")&amp;". Gracias!"," ","%20"),"WhatsApp"))</f>
        <v/>
      </c>
    </row>
    <row r="117">
      <c r="A117" s="14" t="n"/>
      <c r="B117" s="16">
        <f>IF($A117="","",INDEX('Préstamos'!$B$2:$B$101,MATCH($A117,'Préstamos'!$A$2:$A$101,0)))</f>
        <v/>
      </c>
      <c r="C117" s="14" t="n"/>
      <c r="D117" s="14" t="n"/>
      <c r="E117" s="33" t="n"/>
      <c r="F117" s="29">
        <f>IF($A117="","",IF(D117="Solo interés",0,IF(AND(D117&lt;&gt;"Solo interés",C117=INDEX('Préstamos'!$G$2:$G$101,MATCH($A117,'Préstamos'!$A$2:$A$101,0))),INDEX('Préstamos'!$D$2:$D$101,MATCH($A117,'Préstamos'!$A$2:$A$101,0))-INDEX('Préstamos'!$J$2:$J$101,MATCH($A117,'Préstamos'!$A$2:$A$101,0))*(INDEX('Préstamos'!$G$2:$G$101,MATCH($A117,'Préstamos'!$A$2:$A$101,0))-1),INDEX('Préstamos'!$J$2:$J$101,MATCH($A117,'Préstamos'!$A$2:$A$101,0)))))</f>
        <v/>
      </c>
      <c r="G117" s="29">
        <f>IF($A117="","",IF(AND(D117&lt;&gt;"Solo interés",C117=INDEX('Préstamos'!$G$2:$G$101,MATCH($A117,'Préstamos'!$A$2:$A$101,0))),INDEX('Préstamos'!$I$2:$I$101,MATCH($A117,'Préstamos'!$A$2:$A$101,0))-INDEX('Préstamos'!$K$2:$K$101,MATCH($A117,'Préstamos'!$A$2:$A$101,0))*(INDEX('Préstamos'!$G$2:$G$101,MATCH($A117,'Préstamos'!$A$2:$A$101,0))-1),INDEX('Préstamos'!$K$2:$K$101,MATCH($A117,'Préstamos'!$A$2:$A$101,0))))</f>
        <v/>
      </c>
      <c r="H117" s="29">
        <f>IF($A117="","",F117+G117)</f>
        <v/>
      </c>
      <c r="I117" s="14" t="n"/>
      <c r="J117" s="33" t="n"/>
      <c r="K117" s="16">
        <f>IF(OR($A117="",I117="Pagado"),"",MAX(0,TODAY()-E117))</f>
        <v/>
      </c>
      <c r="L117" s="16">
        <f>IF($A117="","",IF(I117="Pagado","Pagado",IF(E117&lt;TODAY(),"Atrasado",IF(E117&lt;=EOMONTH(TODAY(),0),"Este mes","Pendiente"))))</f>
        <v/>
      </c>
      <c r="M117" s="20">
        <f>IF(OR($A117="",I117="Pagado"),"",HYPERLINK("https://wa.me/"&amp;IF(INDEX('Préstamos'!$C$2:$C$101,MATCH($A117,'Préstamos'!$A$2:$A$101,0))="","","51"&amp;SUBSTITUTE(INDEX('Préstamos'!$C$2:$C$101,MATCH($A117,'Préstamos'!$A$2:$A$101,0))," ",""))&amp;"?text="&amp;SUBSTITUTE("Hola "&amp;B117&amp;", te recuerdo que tu cuota de S/ "&amp;H117&amp;IF(E117&lt;TODAY()," vencio el "," vence el ")&amp;TEXT(E117,"dd/mm")&amp;". Gracias!"," ","%20"),"WhatsApp"))</f>
        <v/>
      </c>
    </row>
    <row r="118">
      <c r="A118" s="14" t="n"/>
      <c r="B118" s="16">
        <f>IF($A118="","",INDEX('Préstamos'!$B$2:$B$101,MATCH($A118,'Préstamos'!$A$2:$A$101,0)))</f>
        <v/>
      </c>
      <c r="C118" s="14" t="n"/>
      <c r="D118" s="14" t="n"/>
      <c r="E118" s="33" t="n"/>
      <c r="F118" s="29">
        <f>IF($A118="","",IF(D118="Solo interés",0,IF(AND(D118&lt;&gt;"Solo interés",C118=INDEX('Préstamos'!$G$2:$G$101,MATCH($A118,'Préstamos'!$A$2:$A$101,0))),INDEX('Préstamos'!$D$2:$D$101,MATCH($A118,'Préstamos'!$A$2:$A$101,0))-INDEX('Préstamos'!$J$2:$J$101,MATCH($A118,'Préstamos'!$A$2:$A$101,0))*(INDEX('Préstamos'!$G$2:$G$101,MATCH($A118,'Préstamos'!$A$2:$A$101,0))-1),INDEX('Préstamos'!$J$2:$J$101,MATCH($A118,'Préstamos'!$A$2:$A$101,0)))))</f>
        <v/>
      </c>
      <c r="G118" s="29">
        <f>IF($A118="","",IF(AND(D118&lt;&gt;"Solo interés",C118=INDEX('Préstamos'!$G$2:$G$101,MATCH($A118,'Préstamos'!$A$2:$A$101,0))),INDEX('Préstamos'!$I$2:$I$101,MATCH($A118,'Préstamos'!$A$2:$A$101,0))-INDEX('Préstamos'!$K$2:$K$101,MATCH($A118,'Préstamos'!$A$2:$A$101,0))*(INDEX('Préstamos'!$G$2:$G$101,MATCH($A118,'Préstamos'!$A$2:$A$101,0))-1),INDEX('Préstamos'!$K$2:$K$101,MATCH($A118,'Préstamos'!$A$2:$A$101,0))))</f>
        <v/>
      </c>
      <c r="H118" s="29">
        <f>IF($A118="","",F118+G118)</f>
        <v/>
      </c>
      <c r="I118" s="14" t="n"/>
      <c r="J118" s="33" t="n"/>
      <c r="K118" s="16">
        <f>IF(OR($A118="",I118="Pagado"),"",MAX(0,TODAY()-E118))</f>
        <v/>
      </c>
      <c r="L118" s="16">
        <f>IF($A118="","",IF(I118="Pagado","Pagado",IF(E118&lt;TODAY(),"Atrasado",IF(E118&lt;=EOMONTH(TODAY(),0),"Este mes","Pendiente"))))</f>
        <v/>
      </c>
      <c r="M118" s="20">
        <f>IF(OR($A118="",I118="Pagado"),"",HYPERLINK("https://wa.me/"&amp;IF(INDEX('Préstamos'!$C$2:$C$101,MATCH($A118,'Préstamos'!$A$2:$A$101,0))="","","51"&amp;SUBSTITUTE(INDEX('Préstamos'!$C$2:$C$101,MATCH($A118,'Préstamos'!$A$2:$A$101,0))," ",""))&amp;"?text="&amp;SUBSTITUTE("Hola "&amp;B118&amp;", te recuerdo que tu cuota de S/ "&amp;H118&amp;IF(E118&lt;TODAY()," vencio el "," vence el ")&amp;TEXT(E118,"dd/mm")&amp;". Gracias!"," ","%20"),"WhatsApp"))</f>
        <v/>
      </c>
    </row>
    <row r="119">
      <c r="A119" s="14" t="n"/>
      <c r="B119" s="16">
        <f>IF($A119="","",INDEX('Préstamos'!$B$2:$B$101,MATCH($A119,'Préstamos'!$A$2:$A$101,0)))</f>
        <v/>
      </c>
      <c r="C119" s="14" t="n"/>
      <c r="D119" s="14" t="n"/>
      <c r="E119" s="33" t="n"/>
      <c r="F119" s="29">
        <f>IF($A119="","",IF(D119="Solo interés",0,IF(AND(D119&lt;&gt;"Solo interés",C119=INDEX('Préstamos'!$G$2:$G$101,MATCH($A119,'Préstamos'!$A$2:$A$101,0))),INDEX('Préstamos'!$D$2:$D$101,MATCH($A119,'Préstamos'!$A$2:$A$101,0))-INDEX('Préstamos'!$J$2:$J$101,MATCH($A119,'Préstamos'!$A$2:$A$101,0))*(INDEX('Préstamos'!$G$2:$G$101,MATCH($A119,'Préstamos'!$A$2:$A$101,0))-1),INDEX('Préstamos'!$J$2:$J$101,MATCH($A119,'Préstamos'!$A$2:$A$101,0)))))</f>
        <v/>
      </c>
      <c r="G119" s="29">
        <f>IF($A119="","",IF(AND(D119&lt;&gt;"Solo interés",C119=INDEX('Préstamos'!$G$2:$G$101,MATCH($A119,'Préstamos'!$A$2:$A$101,0))),INDEX('Préstamos'!$I$2:$I$101,MATCH($A119,'Préstamos'!$A$2:$A$101,0))-INDEX('Préstamos'!$K$2:$K$101,MATCH($A119,'Préstamos'!$A$2:$A$101,0))*(INDEX('Préstamos'!$G$2:$G$101,MATCH($A119,'Préstamos'!$A$2:$A$101,0))-1),INDEX('Préstamos'!$K$2:$K$101,MATCH($A119,'Préstamos'!$A$2:$A$101,0))))</f>
        <v/>
      </c>
      <c r="H119" s="29">
        <f>IF($A119="","",F119+G119)</f>
        <v/>
      </c>
      <c r="I119" s="14" t="n"/>
      <c r="J119" s="33" t="n"/>
      <c r="K119" s="16">
        <f>IF(OR($A119="",I119="Pagado"),"",MAX(0,TODAY()-E119))</f>
        <v/>
      </c>
      <c r="L119" s="16">
        <f>IF($A119="","",IF(I119="Pagado","Pagado",IF(E119&lt;TODAY(),"Atrasado",IF(E119&lt;=EOMONTH(TODAY(),0),"Este mes","Pendiente"))))</f>
        <v/>
      </c>
      <c r="M119" s="20">
        <f>IF(OR($A119="",I119="Pagado"),"",HYPERLINK("https://wa.me/"&amp;IF(INDEX('Préstamos'!$C$2:$C$101,MATCH($A119,'Préstamos'!$A$2:$A$101,0))="","","51"&amp;SUBSTITUTE(INDEX('Préstamos'!$C$2:$C$101,MATCH($A119,'Préstamos'!$A$2:$A$101,0))," ",""))&amp;"?text="&amp;SUBSTITUTE("Hola "&amp;B119&amp;", te recuerdo que tu cuota de S/ "&amp;H119&amp;IF(E119&lt;TODAY()," vencio el "," vence el ")&amp;TEXT(E119,"dd/mm")&amp;". Gracias!"," ","%20"),"WhatsApp"))</f>
        <v/>
      </c>
    </row>
    <row r="120">
      <c r="A120" s="14" t="n"/>
      <c r="B120" s="16">
        <f>IF($A120="","",INDEX('Préstamos'!$B$2:$B$101,MATCH($A120,'Préstamos'!$A$2:$A$101,0)))</f>
        <v/>
      </c>
      <c r="C120" s="14" t="n"/>
      <c r="D120" s="14" t="n"/>
      <c r="E120" s="33" t="n"/>
      <c r="F120" s="29">
        <f>IF($A120="","",IF(D120="Solo interés",0,IF(AND(D120&lt;&gt;"Solo interés",C120=INDEX('Préstamos'!$G$2:$G$101,MATCH($A120,'Préstamos'!$A$2:$A$101,0))),INDEX('Préstamos'!$D$2:$D$101,MATCH($A120,'Préstamos'!$A$2:$A$101,0))-INDEX('Préstamos'!$J$2:$J$101,MATCH($A120,'Préstamos'!$A$2:$A$101,0))*(INDEX('Préstamos'!$G$2:$G$101,MATCH($A120,'Préstamos'!$A$2:$A$101,0))-1),INDEX('Préstamos'!$J$2:$J$101,MATCH($A120,'Préstamos'!$A$2:$A$101,0)))))</f>
        <v/>
      </c>
      <c r="G120" s="29">
        <f>IF($A120="","",IF(AND(D120&lt;&gt;"Solo interés",C120=INDEX('Préstamos'!$G$2:$G$101,MATCH($A120,'Préstamos'!$A$2:$A$101,0))),INDEX('Préstamos'!$I$2:$I$101,MATCH($A120,'Préstamos'!$A$2:$A$101,0))-INDEX('Préstamos'!$K$2:$K$101,MATCH($A120,'Préstamos'!$A$2:$A$101,0))*(INDEX('Préstamos'!$G$2:$G$101,MATCH($A120,'Préstamos'!$A$2:$A$101,0))-1),INDEX('Préstamos'!$K$2:$K$101,MATCH($A120,'Préstamos'!$A$2:$A$101,0))))</f>
        <v/>
      </c>
      <c r="H120" s="29">
        <f>IF($A120="","",F120+G120)</f>
        <v/>
      </c>
      <c r="I120" s="14" t="n"/>
      <c r="J120" s="33" t="n"/>
      <c r="K120" s="16">
        <f>IF(OR($A120="",I120="Pagado"),"",MAX(0,TODAY()-E120))</f>
        <v/>
      </c>
      <c r="L120" s="16">
        <f>IF($A120="","",IF(I120="Pagado","Pagado",IF(E120&lt;TODAY(),"Atrasado",IF(E120&lt;=EOMONTH(TODAY(),0),"Este mes","Pendiente"))))</f>
        <v/>
      </c>
      <c r="M120" s="20">
        <f>IF(OR($A120="",I120="Pagado"),"",HYPERLINK("https://wa.me/"&amp;IF(INDEX('Préstamos'!$C$2:$C$101,MATCH($A120,'Préstamos'!$A$2:$A$101,0))="","","51"&amp;SUBSTITUTE(INDEX('Préstamos'!$C$2:$C$101,MATCH($A120,'Préstamos'!$A$2:$A$101,0))," ",""))&amp;"?text="&amp;SUBSTITUTE("Hola "&amp;B120&amp;", te recuerdo que tu cuota de S/ "&amp;H120&amp;IF(E120&lt;TODAY()," vencio el "," vence el ")&amp;TEXT(E120,"dd/mm")&amp;". Gracias!"," ","%20"),"WhatsApp"))</f>
        <v/>
      </c>
    </row>
    <row r="121">
      <c r="A121" s="14" t="n"/>
      <c r="B121" s="16">
        <f>IF($A121="","",INDEX('Préstamos'!$B$2:$B$101,MATCH($A121,'Préstamos'!$A$2:$A$101,0)))</f>
        <v/>
      </c>
      <c r="C121" s="14" t="n"/>
      <c r="D121" s="14" t="n"/>
      <c r="E121" s="33" t="n"/>
      <c r="F121" s="29">
        <f>IF($A121="","",IF(D121="Solo interés",0,IF(AND(D121&lt;&gt;"Solo interés",C121=INDEX('Préstamos'!$G$2:$G$101,MATCH($A121,'Préstamos'!$A$2:$A$101,0))),INDEX('Préstamos'!$D$2:$D$101,MATCH($A121,'Préstamos'!$A$2:$A$101,0))-INDEX('Préstamos'!$J$2:$J$101,MATCH($A121,'Préstamos'!$A$2:$A$101,0))*(INDEX('Préstamos'!$G$2:$G$101,MATCH($A121,'Préstamos'!$A$2:$A$101,0))-1),INDEX('Préstamos'!$J$2:$J$101,MATCH($A121,'Préstamos'!$A$2:$A$101,0)))))</f>
        <v/>
      </c>
      <c r="G121" s="29">
        <f>IF($A121="","",IF(AND(D121&lt;&gt;"Solo interés",C121=INDEX('Préstamos'!$G$2:$G$101,MATCH($A121,'Préstamos'!$A$2:$A$101,0))),INDEX('Préstamos'!$I$2:$I$101,MATCH($A121,'Préstamos'!$A$2:$A$101,0))-INDEX('Préstamos'!$K$2:$K$101,MATCH($A121,'Préstamos'!$A$2:$A$101,0))*(INDEX('Préstamos'!$G$2:$G$101,MATCH($A121,'Préstamos'!$A$2:$A$101,0))-1),INDEX('Préstamos'!$K$2:$K$101,MATCH($A121,'Préstamos'!$A$2:$A$101,0))))</f>
        <v/>
      </c>
      <c r="H121" s="29">
        <f>IF($A121="","",F121+G121)</f>
        <v/>
      </c>
      <c r="I121" s="14" t="n"/>
      <c r="J121" s="33" t="n"/>
      <c r="K121" s="16">
        <f>IF(OR($A121="",I121="Pagado"),"",MAX(0,TODAY()-E121))</f>
        <v/>
      </c>
      <c r="L121" s="16">
        <f>IF($A121="","",IF(I121="Pagado","Pagado",IF(E121&lt;TODAY(),"Atrasado",IF(E121&lt;=EOMONTH(TODAY(),0),"Este mes","Pendiente"))))</f>
        <v/>
      </c>
      <c r="M121" s="20">
        <f>IF(OR($A121="",I121="Pagado"),"",HYPERLINK("https://wa.me/"&amp;IF(INDEX('Préstamos'!$C$2:$C$101,MATCH($A121,'Préstamos'!$A$2:$A$101,0))="","","51"&amp;SUBSTITUTE(INDEX('Préstamos'!$C$2:$C$101,MATCH($A121,'Préstamos'!$A$2:$A$101,0))," ",""))&amp;"?text="&amp;SUBSTITUTE("Hola "&amp;B121&amp;", te recuerdo que tu cuota de S/ "&amp;H121&amp;IF(E121&lt;TODAY()," vencio el "," vence el ")&amp;TEXT(E121,"dd/mm")&amp;". Gracias!"," ","%20"),"WhatsApp"))</f>
        <v/>
      </c>
    </row>
    <row r="122">
      <c r="A122" s="14" t="n"/>
      <c r="B122" s="16">
        <f>IF($A122="","",INDEX('Préstamos'!$B$2:$B$101,MATCH($A122,'Préstamos'!$A$2:$A$101,0)))</f>
        <v/>
      </c>
      <c r="C122" s="14" t="n"/>
      <c r="D122" s="14" t="n"/>
      <c r="E122" s="33" t="n"/>
      <c r="F122" s="29">
        <f>IF($A122="","",IF(D122="Solo interés",0,IF(AND(D122&lt;&gt;"Solo interés",C122=INDEX('Préstamos'!$G$2:$G$101,MATCH($A122,'Préstamos'!$A$2:$A$101,0))),INDEX('Préstamos'!$D$2:$D$101,MATCH($A122,'Préstamos'!$A$2:$A$101,0))-INDEX('Préstamos'!$J$2:$J$101,MATCH($A122,'Préstamos'!$A$2:$A$101,0))*(INDEX('Préstamos'!$G$2:$G$101,MATCH($A122,'Préstamos'!$A$2:$A$101,0))-1),INDEX('Préstamos'!$J$2:$J$101,MATCH($A122,'Préstamos'!$A$2:$A$101,0)))))</f>
        <v/>
      </c>
      <c r="G122" s="29">
        <f>IF($A122="","",IF(AND(D122&lt;&gt;"Solo interés",C122=INDEX('Préstamos'!$G$2:$G$101,MATCH($A122,'Préstamos'!$A$2:$A$101,0))),INDEX('Préstamos'!$I$2:$I$101,MATCH($A122,'Préstamos'!$A$2:$A$101,0))-INDEX('Préstamos'!$K$2:$K$101,MATCH($A122,'Préstamos'!$A$2:$A$101,0))*(INDEX('Préstamos'!$G$2:$G$101,MATCH($A122,'Préstamos'!$A$2:$A$101,0))-1),INDEX('Préstamos'!$K$2:$K$101,MATCH($A122,'Préstamos'!$A$2:$A$101,0))))</f>
        <v/>
      </c>
      <c r="H122" s="29">
        <f>IF($A122="","",F122+G122)</f>
        <v/>
      </c>
      <c r="I122" s="14" t="n"/>
      <c r="J122" s="33" t="n"/>
      <c r="K122" s="16">
        <f>IF(OR($A122="",I122="Pagado"),"",MAX(0,TODAY()-E122))</f>
        <v/>
      </c>
      <c r="L122" s="16">
        <f>IF($A122="","",IF(I122="Pagado","Pagado",IF(E122&lt;TODAY(),"Atrasado",IF(E122&lt;=EOMONTH(TODAY(),0),"Este mes","Pendiente"))))</f>
        <v/>
      </c>
      <c r="M122" s="20">
        <f>IF(OR($A122="",I122="Pagado"),"",HYPERLINK("https://wa.me/"&amp;IF(INDEX('Préstamos'!$C$2:$C$101,MATCH($A122,'Préstamos'!$A$2:$A$101,0))="","","51"&amp;SUBSTITUTE(INDEX('Préstamos'!$C$2:$C$101,MATCH($A122,'Préstamos'!$A$2:$A$101,0))," ",""))&amp;"?text="&amp;SUBSTITUTE("Hola "&amp;B122&amp;", te recuerdo que tu cuota de S/ "&amp;H122&amp;IF(E122&lt;TODAY()," vencio el "," vence el ")&amp;TEXT(E122,"dd/mm")&amp;". Gracias!"," ","%20"),"WhatsApp"))</f>
        <v/>
      </c>
    </row>
    <row r="123">
      <c r="A123" s="14" t="n"/>
      <c r="B123" s="16">
        <f>IF($A123="","",INDEX('Préstamos'!$B$2:$B$101,MATCH($A123,'Préstamos'!$A$2:$A$101,0)))</f>
        <v/>
      </c>
      <c r="C123" s="14" t="n"/>
      <c r="D123" s="14" t="n"/>
      <c r="E123" s="33" t="n"/>
      <c r="F123" s="29">
        <f>IF($A123="","",IF(D123="Solo interés",0,IF(AND(D123&lt;&gt;"Solo interés",C123=INDEX('Préstamos'!$G$2:$G$101,MATCH($A123,'Préstamos'!$A$2:$A$101,0))),INDEX('Préstamos'!$D$2:$D$101,MATCH($A123,'Préstamos'!$A$2:$A$101,0))-INDEX('Préstamos'!$J$2:$J$101,MATCH($A123,'Préstamos'!$A$2:$A$101,0))*(INDEX('Préstamos'!$G$2:$G$101,MATCH($A123,'Préstamos'!$A$2:$A$101,0))-1),INDEX('Préstamos'!$J$2:$J$101,MATCH($A123,'Préstamos'!$A$2:$A$101,0)))))</f>
        <v/>
      </c>
      <c r="G123" s="29">
        <f>IF($A123="","",IF(AND(D123&lt;&gt;"Solo interés",C123=INDEX('Préstamos'!$G$2:$G$101,MATCH($A123,'Préstamos'!$A$2:$A$101,0))),INDEX('Préstamos'!$I$2:$I$101,MATCH($A123,'Préstamos'!$A$2:$A$101,0))-INDEX('Préstamos'!$K$2:$K$101,MATCH($A123,'Préstamos'!$A$2:$A$101,0))*(INDEX('Préstamos'!$G$2:$G$101,MATCH($A123,'Préstamos'!$A$2:$A$101,0))-1),INDEX('Préstamos'!$K$2:$K$101,MATCH($A123,'Préstamos'!$A$2:$A$101,0))))</f>
        <v/>
      </c>
      <c r="H123" s="29">
        <f>IF($A123="","",F123+G123)</f>
        <v/>
      </c>
      <c r="I123" s="14" t="n"/>
      <c r="J123" s="33" t="n"/>
      <c r="K123" s="16">
        <f>IF(OR($A123="",I123="Pagado"),"",MAX(0,TODAY()-E123))</f>
        <v/>
      </c>
      <c r="L123" s="16">
        <f>IF($A123="","",IF(I123="Pagado","Pagado",IF(E123&lt;TODAY(),"Atrasado",IF(E123&lt;=EOMONTH(TODAY(),0),"Este mes","Pendiente"))))</f>
        <v/>
      </c>
      <c r="M123" s="20">
        <f>IF(OR($A123="",I123="Pagado"),"",HYPERLINK("https://wa.me/"&amp;IF(INDEX('Préstamos'!$C$2:$C$101,MATCH($A123,'Préstamos'!$A$2:$A$101,0))="","","51"&amp;SUBSTITUTE(INDEX('Préstamos'!$C$2:$C$101,MATCH($A123,'Préstamos'!$A$2:$A$101,0))," ",""))&amp;"?text="&amp;SUBSTITUTE("Hola "&amp;B123&amp;", te recuerdo que tu cuota de S/ "&amp;H123&amp;IF(E123&lt;TODAY()," vencio el "," vence el ")&amp;TEXT(E123,"dd/mm")&amp;". Gracias!"," ","%20"),"WhatsApp"))</f>
        <v/>
      </c>
    </row>
    <row r="124">
      <c r="A124" s="14" t="n"/>
      <c r="B124" s="16">
        <f>IF($A124="","",INDEX('Préstamos'!$B$2:$B$101,MATCH($A124,'Préstamos'!$A$2:$A$101,0)))</f>
        <v/>
      </c>
      <c r="C124" s="14" t="n"/>
      <c r="D124" s="14" t="n"/>
      <c r="E124" s="33" t="n"/>
      <c r="F124" s="29">
        <f>IF($A124="","",IF(D124="Solo interés",0,IF(AND(D124&lt;&gt;"Solo interés",C124=INDEX('Préstamos'!$G$2:$G$101,MATCH($A124,'Préstamos'!$A$2:$A$101,0))),INDEX('Préstamos'!$D$2:$D$101,MATCH($A124,'Préstamos'!$A$2:$A$101,0))-INDEX('Préstamos'!$J$2:$J$101,MATCH($A124,'Préstamos'!$A$2:$A$101,0))*(INDEX('Préstamos'!$G$2:$G$101,MATCH($A124,'Préstamos'!$A$2:$A$101,0))-1),INDEX('Préstamos'!$J$2:$J$101,MATCH($A124,'Préstamos'!$A$2:$A$101,0)))))</f>
        <v/>
      </c>
      <c r="G124" s="29">
        <f>IF($A124="","",IF(AND(D124&lt;&gt;"Solo interés",C124=INDEX('Préstamos'!$G$2:$G$101,MATCH($A124,'Préstamos'!$A$2:$A$101,0))),INDEX('Préstamos'!$I$2:$I$101,MATCH($A124,'Préstamos'!$A$2:$A$101,0))-INDEX('Préstamos'!$K$2:$K$101,MATCH($A124,'Préstamos'!$A$2:$A$101,0))*(INDEX('Préstamos'!$G$2:$G$101,MATCH($A124,'Préstamos'!$A$2:$A$101,0))-1),INDEX('Préstamos'!$K$2:$K$101,MATCH($A124,'Préstamos'!$A$2:$A$101,0))))</f>
        <v/>
      </c>
      <c r="H124" s="29">
        <f>IF($A124="","",F124+G124)</f>
        <v/>
      </c>
      <c r="I124" s="14" t="n"/>
      <c r="J124" s="33" t="n"/>
      <c r="K124" s="16">
        <f>IF(OR($A124="",I124="Pagado"),"",MAX(0,TODAY()-E124))</f>
        <v/>
      </c>
      <c r="L124" s="16">
        <f>IF($A124="","",IF(I124="Pagado","Pagado",IF(E124&lt;TODAY(),"Atrasado",IF(E124&lt;=EOMONTH(TODAY(),0),"Este mes","Pendiente"))))</f>
        <v/>
      </c>
      <c r="M124" s="20">
        <f>IF(OR($A124="",I124="Pagado"),"",HYPERLINK("https://wa.me/"&amp;IF(INDEX('Préstamos'!$C$2:$C$101,MATCH($A124,'Préstamos'!$A$2:$A$101,0))="","","51"&amp;SUBSTITUTE(INDEX('Préstamos'!$C$2:$C$101,MATCH($A124,'Préstamos'!$A$2:$A$101,0))," ",""))&amp;"?text="&amp;SUBSTITUTE("Hola "&amp;B124&amp;", te recuerdo que tu cuota de S/ "&amp;H124&amp;IF(E124&lt;TODAY()," vencio el "," vence el ")&amp;TEXT(E124,"dd/mm")&amp;". Gracias!"," ","%20"),"WhatsApp"))</f>
        <v/>
      </c>
    </row>
    <row r="125">
      <c r="A125" s="14" t="n"/>
      <c r="B125" s="16">
        <f>IF($A125="","",INDEX('Préstamos'!$B$2:$B$101,MATCH($A125,'Préstamos'!$A$2:$A$101,0)))</f>
        <v/>
      </c>
      <c r="C125" s="14" t="n"/>
      <c r="D125" s="14" t="n"/>
      <c r="E125" s="33" t="n"/>
      <c r="F125" s="29">
        <f>IF($A125="","",IF(D125="Solo interés",0,IF(AND(D125&lt;&gt;"Solo interés",C125=INDEX('Préstamos'!$G$2:$G$101,MATCH($A125,'Préstamos'!$A$2:$A$101,0))),INDEX('Préstamos'!$D$2:$D$101,MATCH($A125,'Préstamos'!$A$2:$A$101,0))-INDEX('Préstamos'!$J$2:$J$101,MATCH($A125,'Préstamos'!$A$2:$A$101,0))*(INDEX('Préstamos'!$G$2:$G$101,MATCH($A125,'Préstamos'!$A$2:$A$101,0))-1),INDEX('Préstamos'!$J$2:$J$101,MATCH($A125,'Préstamos'!$A$2:$A$101,0)))))</f>
        <v/>
      </c>
      <c r="G125" s="29">
        <f>IF($A125="","",IF(AND(D125&lt;&gt;"Solo interés",C125=INDEX('Préstamos'!$G$2:$G$101,MATCH($A125,'Préstamos'!$A$2:$A$101,0))),INDEX('Préstamos'!$I$2:$I$101,MATCH($A125,'Préstamos'!$A$2:$A$101,0))-INDEX('Préstamos'!$K$2:$K$101,MATCH($A125,'Préstamos'!$A$2:$A$101,0))*(INDEX('Préstamos'!$G$2:$G$101,MATCH($A125,'Préstamos'!$A$2:$A$101,0))-1),INDEX('Préstamos'!$K$2:$K$101,MATCH($A125,'Préstamos'!$A$2:$A$101,0))))</f>
        <v/>
      </c>
      <c r="H125" s="29">
        <f>IF($A125="","",F125+G125)</f>
        <v/>
      </c>
      <c r="I125" s="14" t="n"/>
      <c r="J125" s="33" t="n"/>
      <c r="K125" s="16">
        <f>IF(OR($A125="",I125="Pagado"),"",MAX(0,TODAY()-E125))</f>
        <v/>
      </c>
      <c r="L125" s="16">
        <f>IF($A125="","",IF(I125="Pagado","Pagado",IF(E125&lt;TODAY(),"Atrasado",IF(E125&lt;=EOMONTH(TODAY(),0),"Este mes","Pendiente"))))</f>
        <v/>
      </c>
      <c r="M125" s="20">
        <f>IF(OR($A125="",I125="Pagado"),"",HYPERLINK("https://wa.me/"&amp;IF(INDEX('Préstamos'!$C$2:$C$101,MATCH($A125,'Préstamos'!$A$2:$A$101,0))="","","51"&amp;SUBSTITUTE(INDEX('Préstamos'!$C$2:$C$101,MATCH($A125,'Préstamos'!$A$2:$A$101,0))," ",""))&amp;"?text="&amp;SUBSTITUTE("Hola "&amp;B125&amp;", te recuerdo que tu cuota de S/ "&amp;H125&amp;IF(E125&lt;TODAY()," vencio el "," vence el ")&amp;TEXT(E125,"dd/mm")&amp;". Gracias!"," ","%20"),"WhatsApp"))</f>
        <v/>
      </c>
    </row>
    <row r="126">
      <c r="A126" s="14" t="n"/>
      <c r="B126" s="16">
        <f>IF($A126="","",INDEX('Préstamos'!$B$2:$B$101,MATCH($A126,'Préstamos'!$A$2:$A$101,0)))</f>
        <v/>
      </c>
      <c r="C126" s="14" t="n"/>
      <c r="D126" s="14" t="n"/>
      <c r="E126" s="33" t="n"/>
      <c r="F126" s="29">
        <f>IF($A126="","",IF(D126="Solo interés",0,IF(AND(D126&lt;&gt;"Solo interés",C126=INDEX('Préstamos'!$G$2:$G$101,MATCH($A126,'Préstamos'!$A$2:$A$101,0))),INDEX('Préstamos'!$D$2:$D$101,MATCH($A126,'Préstamos'!$A$2:$A$101,0))-INDEX('Préstamos'!$J$2:$J$101,MATCH($A126,'Préstamos'!$A$2:$A$101,0))*(INDEX('Préstamos'!$G$2:$G$101,MATCH($A126,'Préstamos'!$A$2:$A$101,0))-1),INDEX('Préstamos'!$J$2:$J$101,MATCH($A126,'Préstamos'!$A$2:$A$101,0)))))</f>
        <v/>
      </c>
      <c r="G126" s="29">
        <f>IF($A126="","",IF(AND(D126&lt;&gt;"Solo interés",C126=INDEX('Préstamos'!$G$2:$G$101,MATCH($A126,'Préstamos'!$A$2:$A$101,0))),INDEX('Préstamos'!$I$2:$I$101,MATCH($A126,'Préstamos'!$A$2:$A$101,0))-INDEX('Préstamos'!$K$2:$K$101,MATCH($A126,'Préstamos'!$A$2:$A$101,0))*(INDEX('Préstamos'!$G$2:$G$101,MATCH($A126,'Préstamos'!$A$2:$A$101,0))-1),INDEX('Préstamos'!$K$2:$K$101,MATCH($A126,'Préstamos'!$A$2:$A$101,0))))</f>
        <v/>
      </c>
      <c r="H126" s="29">
        <f>IF($A126="","",F126+G126)</f>
        <v/>
      </c>
      <c r="I126" s="14" t="n"/>
      <c r="J126" s="33" t="n"/>
      <c r="K126" s="16">
        <f>IF(OR($A126="",I126="Pagado"),"",MAX(0,TODAY()-E126))</f>
        <v/>
      </c>
      <c r="L126" s="16">
        <f>IF($A126="","",IF(I126="Pagado","Pagado",IF(E126&lt;TODAY(),"Atrasado",IF(E126&lt;=EOMONTH(TODAY(),0),"Este mes","Pendiente"))))</f>
        <v/>
      </c>
      <c r="M126" s="20">
        <f>IF(OR($A126="",I126="Pagado"),"",HYPERLINK("https://wa.me/"&amp;IF(INDEX('Préstamos'!$C$2:$C$101,MATCH($A126,'Préstamos'!$A$2:$A$101,0))="","","51"&amp;SUBSTITUTE(INDEX('Préstamos'!$C$2:$C$101,MATCH($A126,'Préstamos'!$A$2:$A$101,0))," ",""))&amp;"?text="&amp;SUBSTITUTE("Hola "&amp;B126&amp;", te recuerdo que tu cuota de S/ "&amp;H126&amp;IF(E126&lt;TODAY()," vencio el "," vence el ")&amp;TEXT(E126,"dd/mm")&amp;". Gracias!"," ","%20"),"WhatsApp"))</f>
        <v/>
      </c>
    </row>
    <row r="127">
      <c r="A127" s="14" t="n"/>
      <c r="B127" s="16">
        <f>IF($A127="","",INDEX('Préstamos'!$B$2:$B$101,MATCH($A127,'Préstamos'!$A$2:$A$101,0)))</f>
        <v/>
      </c>
      <c r="C127" s="14" t="n"/>
      <c r="D127" s="14" t="n"/>
      <c r="E127" s="33" t="n"/>
      <c r="F127" s="29">
        <f>IF($A127="","",IF(D127="Solo interés",0,IF(AND(D127&lt;&gt;"Solo interés",C127=INDEX('Préstamos'!$G$2:$G$101,MATCH($A127,'Préstamos'!$A$2:$A$101,0))),INDEX('Préstamos'!$D$2:$D$101,MATCH($A127,'Préstamos'!$A$2:$A$101,0))-INDEX('Préstamos'!$J$2:$J$101,MATCH($A127,'Préstamos'!$A$2:$A$101,0))*(INDEX('Préstamos'!$G$2:$G$101,MATCH($A127,'Préstamos'!$A$2:$A$101,0))-1),INDEX('Préstamos'!$J$2:$J$101,MATCH($A127,'Préstamos'!$A$2:$A$101,0)))))</f>
        <v/>
      </c>
      <c r="G127" s="29">
        <f>IF($A127="","",IF(AND(D127&lt;&gt;"Solo interés",C127=INDEX('Préstamos'!$G$2:$G$101,MATCH($A127,'Préstamos'!$A$2:$A$101,0))),INDEX('Préstamos'!$I$2:$I$101,MATCH($A127,'Préstamos'!$A$2:$A$101,0))-INDEX('Préstamos'!$K$2:$K$101,MATCH($A127,'Préstamos'!$A$2:$A$101,0))*(INDEX('Préstamos'!$G$2:$G$101,MATCH($A127,'Préstamos'!$A$2:$A$101,0))-1),INDEX('Préstamos'!$K$2:$K$101,MATCH($A127,'Préstamos'!$A$2:$A$101,0))))</f>
        <v/>
      </c>
      <c r="H127" s="29">
        <f>IF($A127="","",F127+G127)</f>
        <v/>
      </c>
      <c r="I127" s="14" t="n"/>
      <c r="J127" s="33" t="n"/>
      <c r="K127" s="16">
        <f>IF(OR($A127="",I127="Pagado"),"",MAX(0,TODAY()-E127))</f>
        <v/>
      </c>
      <c r="L127" s="16">
        <f>IF($A127="","",IF(I127="Pagado","Pagado",IF(E127&lt;TODAY(),"Atrasado",IF(E127&lt;=EOMONTH(TODAY(),0),"Este mes","Pendiente"))))</f>
        <v/>
      </c>
      <c r="M127" s="20">
        <f>IF(OR($A127="",I127="Pagado"),"",HYPERLINK("https://wa.me/"&amp;IF(INDEX('Préstamos'!$C$2:$C$101,MATCH($A127,'Préstamos'!$A$2:$A$101,0))="","","51"&amp;SUBSTITUTE(INDEX('Préstamos'!$C$2:$C$101,MATCH($A127,'Préstamos'!$A$2:$A$101,0))," ",""))&amp;"?text="&amp;SUBSTITUTE("Hola "&amp;B127&amp;", te recuerdo que tu cuota de S/ "&amp;H127&amp;IF(E127&lt;TODAY()," vencio el "," vence el ")&amp;TEXT(E127,"dd/mm")&amp;". Gracias!"," ","%20"),"WhatsApp"))</f>
        <v/>
      </c>
    </row>
    <row r="128">
      <c r="A128" s="14" t="n"/>
      <c r="B128" s="16">
        <f>IF($A128="","",INDEX('Préstamos'!$B$2:$B$101,MATCH($A128,'Préstamos'!$A$2:$A$101,0)))</f>
        <v/>
      </c>
      <c r="C128" s="14" t="n"/>
      <c r="D128" s="14" t="n"/>
      <c r="E128" s="33" t="n"/>
      <c r="F128" s="29">
        <f>IF($A128="","",IF(D128="Solo interés",0,IF(AND(D128&lt;&gt;"Solo interés",C128=INDEX('Préstamos'!$G$2:$G$101,MATCH($A128,'Préstamos'!$A$2:$A$101,0))),INDEX('Préstamos'!$D$2:$D$101,MATCH($A128,'Préstamos'!$A$2:$A$101,0))-INDEX('Préstamos'!$J$2:$J$101,MATCH($A128,'Préstamos'!$A$2:$A$101,0))*(INDEX('Préstamos'!$G$2:$G$101,MATCH($A128,'Préstamos'!$A$2:$A$101,0))-1),INDEX('Préstamos'!$J$2:$J$101,MATCH($A128,'Préstamos'!$A$2:$A$101,0)))))</f>
        <v/>
      </c>
      <c r="G128" s="29">
        <f>IF($A128="","",IF(AND(D128&lt;&gt;"Solo interés",C128=INDEX('Préstamos'!$G$2:$G$101,MATCH($A128,'Préstamos'!$A$2:$A$101,0))),INDEX('Préstamos'!$I$2:$I$101,MATCH($A128,'Préstamos'!$A$2:$A$101,0))-INDEX('Préstamos'!$K$2:$K$101,MATCH($A128,'Préstamos'!$A$2:$A$101,0))*(INDEX('Préstamos'!$G$2:$G$101,MATCH($A128,'Préstamos'!$A$2:$A$101,0))-1),INDEX('Préstamos'!$K$2:$K$101,MATCH($A128,'Préstamos'!$A$2:$A$101,0))))</f>
        <v/>
      </c>
      <c r="H128" s="29">
        <f>IF($A128="","",F128+G128)</f>
        <v/>
      </c>
      <c r="I128" s="14" t="n"/>
      <c r="J128" s="33" t="n"/>
      <c r="K128" s="16">
        <f>IF(OR($A128="",I128="Pagado"),"",MAX(0,TODAY()-E128))</f>
        <v/>
      </c>
      <c r="L128" s="16">
        <f>IF($A128="","",IF(I128="Pagado","Pagado",IF(E128&lt;TODAY(),"Atrasado",IF(E128&lt;=EOMONTH(TODAY(),0),"Este mes","Pendiente"))))</f>
        <v/>
      </c>
      <c r="M128" s="20">
        <f>IF(OR($A128="",I128="Pagado"),"",HYPERLINK("https://wa.me/"&amp;IF(INDEX('Préstamos'!$C$2:$C$101,MATCH($A128,'Préstamos'!$A$2:$A$101,0))="","","51"&amp;SUBSTITUTE(INDEX('Préstamos'!$C$2:$C$101,MATCH($A128,'Préstamos'!$A$2:$A$101,0))," ",""))&amp;"?text="&amp;SUBSTITUTE("Hola "&amp;B128&amp;", te recuerdo que tu cuota de S/ "&amp;H128&amp;IF(E128&lt;TODAY()," vencio el "," vence el ")&amp;TEXT(E128,"dd/mm")&amp;". Gracias!"," ","%20"),"WhatsApp"))</f>
        <v/>
      </c>
    </row>
    <row r="129">
      <c r="A129" s="14" t="n"/>
      <c r="B129" s="16">
        <f>IF($A129="","",INDEX('Préstamos'!$B$2:$B$101,MATCH($A129,'Préstamos'!$A$2:$A$101,0)))</f>
        <v/>
      </c>
      <c r="C129" s="14" t="n"/>
      <c r="D129" s="14" t="n"/>
      <c r="E129" s="33" t="n"/>
      <c r="F129" s="29">
        <f>IF($A129="","",IF(D129="Solo interés",0,IF(AND(D129&lt;&gt;"Solo interés",C129=INDEX('Préstamos'!$G$2:$G$101,MATCH($A129,'Préstamos'!$A$2:$A$101,0))),INDEX('Préstamos'!$D$2:$D$101,MATCH($A129,'Préstamos'!$A$2:$A$101,0))-INDEX('Préstamos'!$J$2:$J$101,MATCH($A129,'Préstamos'!$A$2:$A$101,0))*(INDEX('Préstamos'!$G$2:$G$101,MATCH($A129,'Préstamos'!$A$2:$A$101,0))-1),INDEX('Préstamos'!$J$2:$J$101,MATCH($A129,'Préstamos'!$A$2:$A$101,0)))))</f>
        <v/>
      </c>
      <c r="G129" s="29">
        <f>IF($A129="","",IF(AND(D129&lt;&gt;"Solo interés",C129=INDEX('Préstamos'!$G$2:$G$101,MATCH($A129,'Préstamos'!$A$2:$A$101,0))),INDEX('Préstamos'!$I$2:$I$101,MATCH($A129,'Préstamos'!$A$2:$A$101,0))-INDEX('Préstamos'!$K$2:$K$101,MATCH($A129,'Préstamos'!$A$2:$A$101,0))*(INDEX('Préstamos'!$G$2:$G$101,MATCH($A129,'Préstamos'!$A$2:$A$101,0))-1),INDEX('Préstamos'!$K$2:$K$101,MATCH($A129,'Préstamos'!$A$2:$A$101,0))))</f>
        <v/>
      </c>
      <c r="H129" s="29">
        <f>IF($A129="","",F129+G129)</f>
        <v/>
      </c>
      <c r="I129" s="14" t="n"/>
      <c r="J129" s="33" t="n"/>
      <c r="K129" s="16">
        <f>IF(OR($A129="",I129="Pagado"),"",MAX(0,TODAY()-E129))</f>
        <v/>
      </c>
      <c r="L129" s="16">
        <f>IF($A129="","",IF(I129="Pagado","Pagado",IF(E129&lt;TODAY(),"Atrasado",IF(E129&lt;=EOMONTH(TODAY(),0),"Este mes","Pendiente"))))</f>
        <v/>
      </c>
      <c r="M129" s="20">
        <f>IF(OR($A129="",I129="Pagado"),"",HYPERLINK("https://wa.me/"&amp;IF(INDEX('Préstamos'!$C$2:$C$101,MATCH($A129,'Préstamos'!$A$2:$A$101,0))="","","51"&amp;SUBSTITUTE(INDEX('Préstamos'!$C$2:$C$101,MATCH($A129,'Préstamos'!$A$2:$A$101,0))," ",""))&amp;"?text="&amp;SUBSTITUTE("Hola "&amp;B129&amp;", te recuerdo que tu cuota de S/ "&amp;H129&amp;IF(E129&lt;TODAY()," vencio el "," vence el ")&amp;TEXT(E129,"dd/mm")&amp;". Gracias!"," ","%20"),"WhatsApp"))</f>
        <v/>
      </c>
    </row>
    <row r="130">
      <c r="A130" s="14" t="n"/>
      <c r="B130" s="16">
        <f>IF($A130="","",INDEX('Préstamos'!$B$2:$B$101,MATCH($A130,'Préstamos'!$A$2:$A$101,0)))</f>
        <v/>
      </c>
      <c r="C130" s="14" t="n"/>
      <c r="D130" s="14" t="n"/>
      <c r="E130" s="33" t="n"/>
      <c r="F130" s="29">
        <f>IF($A130="","",IF(D130="Solo interés",0,IF(AND(D130&lt;&gt;"Solo interés",C130=INDEX('Préstamos'!$G$2:$G$101,MATCH($A130,'Préstamos'!$A$2:$A$101,0))),INDEX('Préstamos'!$D$2:$D$101,MATCH($A130,'Préstamos'!$A$2:$A$101,0))-INDEX('Préstamos'!$J$2:$J$101,MATCH($A130,'Préstamos'!$A$2:$A$101,0))*(INDEX('Préstamos'!$G$2:$G$101,MATCH($A130,'Préstamos'!$A$2:$A$101,0))-1),INDEX('Préstamos'!$J$2:$J$101,MATCH($A130,'Préstamos'!$A$2:$A$101,0)))))</f>
        <v/>
      </c>
      <c r="G130" s="29">
        <f>IF($A130="","",IF(AND(D130&lt;&gt;"Solo interés",C130=INDEX('Préstamos'!$G$2:$G$101,MATCH($A130,'Préstamos'!$A$2:$A$101,0))),INDEX('Préstamos'!$I$2:$I$101,MATCH($A130,'Préstamos'!$A$2:$A$101,0))-INDEX('Préstamos'!$K$2:$K$101,MATCH($A130,'Préstamos'!$A$2:$A$101,0))*(INDEX('Préstamos'!$G$2:$G$101,MATCH($A130,'Préstamos'!$A$2:$A$101,0))-1),INDEX('Préstamos'!$K$2:$K$101,MATCH($A130,'Préstamos'!$A$2:$A$101,0))))</f>
        <v/>
      </c>
      <c r="H130" s="29">
        <f>IF($A130="","",F130+G130)</f>
        <v/>
      </c>
      <c r="I130" s="14" t="n"/>
      <c r="J130" s="33" t="n"/>
      <c r="K130" s="16">
        <f>IF(OR($A130="",I130="Pagado"),"",MAX(0,TODAY()-E130))</f>
        <v/>
      </c>
      <c r="L130" s="16">
        <f>IF($A130="","",IF(I130="Pagado","Pagado",IF(E130&lt;TODAY(),"Atrasado",IF(E130&lt;=EOMONTH(TODAY(),0),"Este mes","Pendiente"))))</f>
        <v/>
      </c>
      <c r="M130" s="20">
        <f>IF(OR($A130="",I130="Pagado"),"",HYPERLINK("https://wa.me/"&amp;IF(INDEX('Préstamos'!$C$2:$C$101,MATCH($A130,'Préstamos'!$A$2:$A$101,0))="","","51"&amp;SUBSTITUTE(INDEX('Préstamos'!$C$2:$C$101,MATCH($A130,'Préstamos'!$A$2:$A$101,0))," ",""))&amp;"?text="&amp;SUBSTITUTE("Hola "&amp;B130&amp;", te recuerdo que tu cuota de S/ "&amp;H130&amp;IF(E130&lt;TODAY()," vencio el "," vence el ")&amp;TEXT(E130,"dd/mm")&amp;". Gracias!"," ","%20"),"WhatsApp"))</f>
        <v/>
      </c>
    </row>
    <row r="131">
      <c r="A131" s="14" t="n"/>
      <c r="B131" s="16">
        <f>IF($A131="","",INDEX('Préstamos'!$B$2:$B$101,MATCH($A131,'Préstamos'!$A$2:$A$101,0)))</f>
        <v/>
      </c>
      <c r="C131" s="14" t="n"/>
      <c r="D131" s="14" t="n"/>
      <c r="E131" s="33" t="n"/>
      <c r="F131" s="29">
        <f>IF($A131="","",IF(D131="Solo interés",0,IF(AND(D131&lt;&gt;"Solo interés",C131=INDEX('Préstamos'!$G$2:$G$101,MATCH($A131,'Préstamos'!$A$2:$A$101,0))),INDEX('Préstamos'!$D$2:$D$101,MATCH($A131,'Préstamos'!$A$2:$A$101,0))-INDEX('Préstamos'!$J$2:$J$101,MATCH($A131,'Préstamos'!$A$2:$A$101,0))*(INDEX('Préstamos'!$G$2:$G$101,MATCH($A131,'Préstamos'!$A$2:$A$101,0))-1),INDEX('Préstamos'!$J$2:$J$101,MATCH($A131,'Préstamos'!$A$2:$A$101,0)))))</f>
        <v/>
      </c>
      <c r="G131" s="29">
        <f>IF($A131="","",IF(AND(D131&lt;&gt;"Solo interés",C131=INDEX('Préstamos'!$G$2:$G$101,MATCH($A131,'Préstamos'!$A$2:$A$101,0))),INDEX('Préstamos'!$I$2:$I$101,MATCH($A131,'Préstamos'!$A$2:$A$101,0))-INDEX('Préstamos'!$K$2:$K$101,MATCH($A131,'Préstamos'!$A$2:$A$101,0))*(INDEX('Préstamos'!$G$2:$G$101,MATCH($A131,'Préstamos'!$A$2:$A$101,0))-1),INDEX('Préstamos'!$K$2:$K$101,MATCH($A131,'Préstamos'!$A$2:$A$101,0))))</f>
        <v/>
      </c>
      <c r="H131" s="29">
        <f>IF($A131="","",F131+G131)</f>
        <v/>
      </c>
      <c r="I131" s="14" t="n"/>
      <c r="J131" s="33" t="n"/>
      <c r="K131" s="16">
        <f>IF(OR($A131="",I131="Pagado"),"",MAX(0,TODAY()-E131))</f>
        <v/>
      </c>
      <c r="L131" s="16">
        <f>IF($A131="","",IF(I131="Pagado","Pagado",IF(E131&lt;TODAY(),"Atrasado",IF(E131&lt;=EOMONTH(TODAY(),0),"Este mes","Pendiente"))))</f>
        <v/>
      </c>
      <c r="M131" s="20">
        <f>IF(OR($A131="",I131="Pagado"),"",HYPERLINK("https://wa.me/"&amp;IF(INDEX('Préstamos'!$C$2:$C$101,MATCH($A131,'Préstamos'!$A$2:$A$101,0))="","","51"&amp;SUBSTITUTE(INDEX('Préstamos'!$C$2:$C$101,MATCH($A131,'Préstamos'!$A$2:$A$101,0))," ",""))&amp;"?text="&amp;SUBSTITUTE("Hola "&amp;B131&amp;", te recuerdo que tu cuota de S/ "&amp;H131&amp;IF(E131&lt;TODAY()," vencio el "," vence el ")&amp;TEXT(E131,"dd/mm")&amp;". Gracias!"," ","%20"),"WhatsApp"))</f>
        <v/>
      </c>
    </row>
    <row r="132">
      <c r="A132" s="14" t="n"/>
      <c r="B132" s="16">
        <f>IF($A132="","",INDEX('Préstamos'!$B$2:$B$101,MATCH($A132,'Préstamos'!$A$2:$A$101,0)))</f>
        <v/>
      </c>
      <c r="C132" s="14" t="n"/>
      <c r="D132" s="14" t="n"/>
      <c r="E132" s="33" t="n"/>
      <c r="F132" s="29">
        <f>IF($A132="","",IF(D132="Solo interés",0,IF(AND(D132&lt;&gt;"Solo interés",C132=INDEX('Préstamos'!$G$2:$G$101,MATCH($A132,'Préstamos'!$A$2:$A$101,0))),INDEX('Préstamos'!$D$2:$D$101,MATCH($A132,'Préstamos'!$A$2:$A$101,0))-INDEX('Préstamos'!$J$2:$J$101,MATCH($A132,'Préstamos'!$A$2:$A$101,0))*(INDEX('Préstamos'!$G$2:$G$101,MATCH($A132,'Préstamos'!$A$2:$A$101,0))-1),INDEX('Préstamos'!$J$2:$J$101,MATCH($A132,'Préstamos'!$A$2:$A$101,0)))))</f>
        <v/>
      </c>
      <c r="G132" s="29">
        <f>IF($A132="","",IF(AND(D132&lt;&gt;"Solo interés",C132=INDEX('Préstamos'!$G$2:$G$101,MATCH($A132,'Préstamos'!$A$2:$A$101,0))),INDEX('Préstamos'!$I$2:$I$101,MATCH($A132,'Préstamos'!$A$2:$A$101,0))-INDEX('Préstamos'!$K$2:$K$101,MATCH($A132,'Préstamos'!$A$2:$A$101,0))*(INDEX('Préstamos'!$G$2:$G$101,MATCH($A132,'Préstamos'!$A$2:$A$101,0))-1),INDEX('Préstamos'!$K$2:$K$101,MATCH($A132,'Préstamos'!$A$2:$A$101,0))))</f>
        <v/>
      </c>
      <c r="H132" s="29">
        <f>IF($A132="","",F132+G132)</f>
        <v/>
      </c>
      <c r="I132" s="14" t="n"/>
      <c r="J132" s="33" t="n"/>
      <c r="K132" s="16">
        <f>IF(OR($A132="",I132="Pagado"),"",MAX(0,TODAY()-E132))</f>
        <v/>
      </c>
      <c r="L132" s="16">
        <f>IF($A132="","",IF(I132="Pagado","Pagado",IF(E132&lt;TODAY(),"Atrasado",IF(E132&lt;=EOMONTH(TODAY(),0),"Este mes","Pendiente"))))</f>
        <v/>
      </c>
      <c r="M132" s="20">
        <f>IF(OR($A132="",I132="Pagado"),"",HYPERLINK("https://wa.me/"&amp;IF(INDEX('Préstamos'!$C$2:$C$101,MATCH($A132,'Préstamos'!$A$2:$A$101,0))="","","51"&amp;SUBSTITUTE(INDEX('Préstamos'!$C$2:$C$101,MATCH($A132,'Préstamos'!$A$2:$A$101,0))," ",""))&amp;"?text="&amp;SUBSTITUTE("Hola "&amp;B132&amp;", te recuerdo que tu cuota de S/ "&amp;H132&amp;IF(E132&lt;TODAY()," vencio el "," vence el ")&amp;TEXT(E132,"dd/mm")&amp;". Gracias!"," ","%20"),"WhatsApp"))</f>
        <v/>
      </c>
    </row>
    <row r="133">
      <c r="A133" s="14" t="n"/>
      <c r="B133" s="16">
        <f>IF($A133="","",INDEX('Préstamos'!$B$2:$B$101,MATCH($A133,'Préstamos'!$A$2:$A$101,0)))</f>
        <v/>
      </c>
      <c r="C133" s="14" t="n"/>
      <c r="D133" s="14" t="n"/>
      <c r="E133" s="33" t="n"/>
      <c r="F133" s="29">
        <f>IF($A133="","",IF(D133="Solo interés",0,IF(AND(D133&lt;&gt;"Solo interés",C133=INDEX('Préstamos'!$G$2:$G$101,MATCH($A133,'Préstamos'!$A$2:$A$101,0))),INDEX('Préstamos'!$D$2:$D$101,MATCH($A133,'Préstamos'!$A$2:$A$101,0))-INDEX('Préstamos'!$J$2:$J$101,MATCH($A133,'Préstamos'!$A$2:$A$101,0))*(INDEX('Préstamos'!$G$2:$G$101,MATCH($A133,'Préstamos'!$A$2:$A$101,0))-1),INDEX('Préstamos'!$J$2:$J$101,MATCH($A133,'Préstamos'!$A$2:$A$101,0)))))</f>
        <v/>
      </c>
      <c r="G133" s="29">
        <f>IF($A133="","",IF(AND(D133&lt;&gt;"Solo interés",C133=INDEX('Préstamos'!$G$2:$G$101,MATCH($A133,'Préstamos'!$A$2:$A$101,0))),INDEX('Préstamos'!$I$2:$I$101,MATCH($A133,'Préstamos'!$A$2:$A$101,0))-INDEX('Préstamos'!$K$2:$K$101,MATCH($A133,'Préstamos'!$A$2:$A$101,0))*(INDEX('Préstamos'!$G$2:$G$101,MATCH($A133,'Préstamos'!$A$2:$A$101,0))-1),INDEX('Préstamos'!$K$2:$K$101,MATCH($A133,'Préstamos'!$A$2:$A$101,0))))</f>
        <v/>
      </c>
      <c r="H133" s="29">
        <f>IF($A133="","",F133+G133)</f>
        <v/>
      </c>
      <c r="I133" s="14" t="n"/>
      <c r="J133" s="33" t="n"/>
      <c r="K133" s="16">
        <f>IF(OR($A133="",I133="Pagado"),"",MAX(0,TODAY()-E133))</f>
        <v/>
      </c>
      <c r="L133" s="16">
        <f>IF($A133="","",IF(I133="Pagado","Pagado",IF(E133&lt;TODAY(),"Atrasado",IF(E133&lt;=EOMONTH(TODAY(),0),"Este mes","Pendiente"))))</f>
        <v/>
      </c>
      <c r="M133" s="20">
        <f>IF(OR($A133="",I133="Pagado"),"",HYPERLINK("https://wa.me/"&amp;IF(INDEX('Préstamos'!$C$2:$C$101,MATCH($A133,'Préstamos'!$A$2:$A$101,0))="","","51"&amp;SUBSTITUTE(INDEX('Préstamos'!$C$2:$C$101,MATCH($A133,'Préstamos'!$A$2:$A$101,0))," ",""))&amp;"?text="&amp;SUBSTITUTE("Hola "&amp;B133&amp;", te recuerdo que tu cuota de S/ "&amp;H133&amp;IF(E133&lt;TODAY()," vencio el "," vence el ")&amp;TEXT(E133,"dd/mm")&amp;". Gracias!"," ","%20"),"WhatsApp"))</f>
        <v/>
      </c>
    </row>
    <row r="134">
      <c r="A134" s="14" t="n"/>
      <c r="B134" s="16">
        <f>IF($A134="","",INDEX('Préstamos'!$B$2:$B$101,MATCH($A134,'Préstamos'!$A$2:$A$101,0)))</f>
        <v/>
      </c>
      <c r="C134" s="14" t="n"/>
      <c r="D134" s="14" t="n"/>
      <c r="E134" s="33" t="n"/>
      <c r="F134" s="29">
        <f>IF($A134="","",IF(D134="Solo interés",0,IF(AND(D134&lt;&gt;"Solo interés",C134=INDEX('Préstamos'!$G$2:$G$101,MATCH($A134,'Préstamos'!$A$2:$A$101,0))),INDEX('Préstamos'!$D$2:$D$101,MATCH($A134,'Préstamos'!$A$2:$A$101,0))-INDEX('Préstamos'!$J$2:$J$101,MATCH($A134,'Préstamos'!$A$2:$A$101,0))*(INDEX('Préstamos'!$G$2:$G$101,MATCH($A134,'Préstamos'!$A$2:$A$101,0))-1),INDEX('Préstamos'!$J$2:$J$101,MATCH($A134,'Préstamos'!$A$2:$A$101,0)))))</f>
        <v/>
      </c>
      <c r="G134" s="29">
        <f>IF($A134="","",IF(AND(D134&lt;&gt;"Solo interés",C134=INDEX('Préstamos'!$G$2:$G$101,MATCH($A134,'Préstamos'!$A$2:$A$101,0))),INDEX('Préstamos'!$I$2:$I$101,MATCH($A134,'Préstamos'!$A$2:$A$101,0))-INDEX('Préstamos'!$K$2:$K$101,MATCH($A134,'Préstamos'!$A$2:$A$101,0))*(INDEX('Préstamos'!$G$2:$G$101,MATCH($A134,'Préstamos'!$A$2:$A$101,0))-1),INDEX('Préstamos'!$K$2:$K$101,MATCH($A134,'Préstamos'!$A$2:$A$101,0))))</f>
        <v/>
      </c>
      <c r="H134" s="29">
        <f>IF($A134="","",F134+G134)</f>
        <v/>
      </c>
      <c r="I134" s="14" t="n"/>
      <c r="J134" s="33" t="n"/>
      <c r="K134" s="16">
        <f>IF(OR($A134="",I134="Pagado"),"",MAX(0,TODAY()-E134))</f>
        <v/>
      </c>
      <c r="L134" s="16">
        <f>IF($A134="","",IF(I134="Pagado","Pagado",IF(E134&lt;TODAY(),"Atrasado",IF(E134&lt;=EOMONTH(TODAY(),0),"Este mes","Pendiente"))))</f>
        <v/>
      </c>
      <c r="M134" s="20">
        <f>IF(OR($A134="",I134="Pagado"),"",HYPERLINK("https://wa.me/"&amp;IF(INDEX('Préstamos'!$C$2:$C$101,MATCH($A134,'Préstamos'!$A$2:$A$101,0))="","","51"&amp;SUBSTITUTE(INDEX('Préstamos'!$C$2:$C$101,MATCH($A134,'Préstamos'!$A$2:$A$101,0))," ",""))&amp;"?text="&amp;SUBSTITUTE("Hola "&amp;B134&amp;", te recuerdo que tu cuota de S/ "&amp;H134&amp;IF(E134&lt;TODAY()," vencio el "," vence el ")&amp;TEXT(E134,"dd/mm")&amp;". Gracias!"," ","%20"),"WhatsApp"))</f>
        <v/>
      </c>
    </row>
    <row r="135">
      <c r="A135" s="14" t="n"/>
      <c r="B135" s="16">
        <f>IF($A135="","",INDEX('Préstamos'!$B$2:$B$101,MATCH($A135,'Préstamos'!$A$2:$A$101,0)))</f>
        <v/>
      </c>
      <c r="C135" s="14" t="n"/>
      <c r="D135" s="14" t="n"/>
      <c r="E135" s="33" t="n"/>
      <c r="F135" s="29">
        <f>IF($A135="","",IF(D135="Solo interés",0,IF(AND(D135&lt;&gt;"Solo interés",C135=INDEX('Préstamos'!$G$2:$G$101,MATCH($A135,'Préstamos'!$A$2:$A$101,0))),INDEX('Préstamos'!$D$2:$D$101,MATCH($A135,'Préstamos'!$A$2:$A$101,0))-INDEX('Préstamos'!$J$2:$J$101,MATCH($A135,'Préstamos'!$A$2:$A$101,0))*(INDEX('Préstamos'!$G$2:$G$101,MATCH($A135,'Préstamos'!$A$2:$A$101,0))-1),INDEX('Préstamos'!$J$2:$J$101,MATCH($A135,'Préstamos'!$A$2:$A$101,0)))))</f>
        <v/>
      </c>
      <c r="G135" s="29">
        <f>IF($A135="","",IF(AND(D135&lt;&gt;"Solo interés",C135=INDEX('Préstamos'!$G$2:$G$101,MATCH($A135,'Préstamos'!$A$2:$A$101,0))),INDEX('Préstamos'!$I$2:$I$101,MATCH($A135,'Préstamos'!$A$2:$A$101,0))-INDEX('Préstamos'!$K$2:$K$101,MATCH($A135,'Préstamos'!$A$2:$A$101,0))*(INDEX('Préstamos'!$G$2:$G$101,MATCH($A135,'Préstamos'!$A$2:$A$101,0))-1),INDEX('Préstamos'!$K$2:$K$101,MATCH($A135,'Préstamos'!$A$2:$A$101,0))))</f>
        <v/>
      </c>
      <c r="H135" s="29">
        <f>IF($A135="","",F135+G135)</f>
        <v/>
      </c>
      <c r="I135" s="14" t="n"/>
      <c r="J135" s="33" t="n"/>
      <c r="K135" s="16">
        <f>IF(OR($A135="",I135="Pagado"),"",MAX(0,TODAY()-E135))</f>
        <v/>
      </c>
      <c r="L135" s="16">
        <f>IF($A135="","",IF(I135="Pagado","Pagado",IF(E135&lt;TODAY(),"Atrasado",IF(E135&lt;=EOMONTH(TODAY(),0),"Este mes","Pendiente"))))</f>
        <v/>
      </c>
      <c r="M135" s="20">
        <f>IF(OR($A135="",I135="Pagado"),"",HYPERLINK("https://wa.me/"&amp;IF(INDEX('Préstamos'!$C$2:$C$101,MATCH($A135,'Préstamos'!$A$2:$A$101,0))="","","51"&amp;SUBSTITUTE(INDEX('Préstamos'!$C$2:$C$101,MATCH($A135,'Préstamos'!$A$2:$A$101,0))," ",""))&amp;"?text="&amp;SUBSTITUTE("Hola "&amp;B135&amp;", te recuerdo que tu cuota de S/ "&amp;H135&amp;IF(E135&lt;TODAY()," vencio el "," vence el ")&amp;TEXT(E135,"dd/mm")&amp;". Gracias!"," ","%20"),"WhatsApp"))</f>
        <v/>
      </c>
    </row>
    <row r="136">
      <c r="A136" s="14" t="n"/>
      <c r="B136" s="16">
        <f>IF($A136="","",INDEX('Préstamos'!$B$2:$B$101,MATCH($A136,'Préstamos'!$A$2:$A$101,0)))</f>
        <v/>
      </c>
      <c r="C136" s="14" t="n"/>
      <c r="D136" s="14" t="n"/>
      <c r="E136" s="33" t="n"/>
      <c r="F136" s="29">
        <f>IF($A136="","",IF(D136="Solo interés",0,IF(AND(D136&lt;&gt;"Solo interés",C136=INDEX('Préstamos'!$G$2:$G$101,MATCH($A136,'Préstamos'!$A$2:$A$101,0))),INDEX('Préstamos'!$D$2:$D$101,MATCH($A136,'Préstamos'!$A$2:$A$101,0))-INDEX('Préstamos'!$J$2:$J$101,MATCH($A136,'Préstamos'!$A$2:$A$101,0))*(INDEX('Préstamos'!$G$2:$G$101,MATCH($A136,'Préstamos'!$A$2:$A$101,0))-1),INDEX('Préstamos'!$J$2:$J$101,MATCH($A136,'Préstamos'!$A$2:$A$101,0)))))</f>
        <v/>
      </c>
      <c r="G136" s="29">
        <f>IF($A136="","",IF(AND(D136&lt;&gt;"Solo interés",C136=INDEX('Préstamos'!$G$2:$G$101,MATCH($A136,'Préstamos'!$A$2:$A$101,0))),INDEX('Préstamos'!$I$2:$I$101,MATCH($A136,'Préstamos'!$A$2:$A$101,0))-INDEX('Préstamos'!$K$2:$K$101,MATCH($A136,'Préstamos'!$A$2:$A$101,0))*(INDEX('Préstamos'!$G$2:$G$101,MATCH($A136,'Préstamos'!$A$2:$A$101,0))-1),INDEX('Préstamos'!$K$2:$K$101,MATCH($A136,'Préstamos'!$A$2:$A$101,0))))</f>
        <v/>
      </c>
      <c r="H136" s="29">
        <f>IF($A136="","",F136+G136)</f>
        <v/>
      </c>
      <c r="I136" s="14" t="n"/>
      <c r="J136" s="33" t="n"/>
      <c r="K136" s="16">
        <f>IF(OR($A136="",I136="Pagado"),"",MAX(0,TODAY()-E136))</f>
        <v/>
      </c>
      <c r="L136" s="16">
        <f>IF($A136="","",IF(I136="Pagado","Pagado",IF(E136&lt;TODAY(),"Atrasado",IF(E136&lt;=EOMONTH(TODAY(),0),"Este mes","Pendiente"))))</f>
        <v/>
      </c>
      <c r="M136" s="20">
        <f>IF(OR($A136="",I136="Pagado"),"",HYPERLINK("https://wa.me/"&amp;IF(INDEX('Préstamos'!$C$2:$C$101,MATCH($A136,'Préstamos'!$A$2:$A$101,0))="","","51"&amp;SUBSTITUTE(INDEX('Préstamos'!$C$2:$C$101,MATCH($A136,'Préstamos'!$A$2:$A$101,0))," ",""))&amp;"?text="&amp;SUBSTITUTE("Hola "&amp;B136&amp;", te recuerdo que tu cuota de S/ "&amp;H136&amp;IF(E136&lt;TODAY()," vencio el "," vence el ")&amp;TEXT(E136,"dd/mm")&amp;". Gracias!"," ","%20"),"WhatsApp"))</f>
        <v/>
      </c>
    </row>
    <row r="137">
      <c r="A137" s="14" t="n"/>
      <c r="B137" s="16">
        <f>IF($A137="","",INDEX('Préstamos'!$B$2:$B$101,MATCH($A137,'Préstamos'!$A$2:$A$101,0)))</f>
        <v/>
      </c>
      <c r="C137" s="14" t="n"/>
      <c r="D137" s="14" t="n"/>
      <c r="E137" s="33" t="n"/>
      <c r="F137" s="29">
        <f>IF($A137="","",IF(D137="Solo interés",0,IF(AND(D137&lt;&gt;"Solo interés",C137=INDEX('Préstamos'!$G$2:$G$101,MATCH($A137,'Préstamos'!$A$2:$A$101,0))),INDEX('Préstamos'!$D$2:$D$101,MATCH($A137,'Préstamos'!$A$2:$A$101,0))-INDEX('Préstamos'!$J$2:$J$101,MATCH($A137,'Préstamos'!$A$2:$A$101,0))*(INDEX('Préstamos'!$G$2:$G$101,MATCH($A137,'Préstamos'!$A$2:$A$101,0))-1),INDEX('Préstamos'!$J$2:$J$101,MATCH($A137,'Préstamos'!$A$2:$A$101,0)))))</f>
        <v/>
      </c>
      <c r="G137" s="29">
        <f>IF($A137="","",IF(AND(D137&lt;&gt;"Solo interés",C137=INDEX('Préstamos'!$G$2:$G$101,MATCH($A137,'Préstamos'!$A$2:$A$101,0))),INDEX('Préstamos'!$I$2:$I$101,MATCH($A137,'Préstamos'!$A$2:$A$101,0))-INDEX('Préstamos'!$K$2:$K$101,MATCH($A137,'Préstamos'!$A$2:$A$101,0))*(INDEX('Préstamos'!$G$2:$G$101,MATCH($A137,'Préstamos'!$A$2:$A$101,0))-1),INDEX('Préstamos'!$K$2:$K$101,MATCH($A137,'Préstamos'!$A$2:$A$101,0))))</f>
        <v/>
      </c>
      <c r="H137" s="29">
        <f>IF($A137="","",F137+G137)</f>
        <v/>
      </c>
      <c r="I137" s="14" t="n"/>
      <c r="J137" s="33" t="n"/>
      <c r="K137" s="16">
        <f>IF(OR($A137="",I137="Pagado"),"",MAX(0,TODAY()-E137))</f>
        <v/>
      </c>
      <c r="L137" s="16">
        <f>IF($A137="","",IF(I137="Pagado","Pagado",IF(E137&lt;TODAY(),"Atrasado",IF(E137&lt;=EOMONTH(TODAY(),0),"Este mes","Pendiente"))))</f>
        <v/>
      </c>
      <c r="M137" s="20">
        <f>IF(OR($A137="",I137="Pagado"),"",HYPERLINK("https://wa.me/"&amp;IF(INDEX('Préstamos'!$C$2:$C$101,MATCH($A137,'Préstamos'!$A$2:$A$101,0))="","","51"&amp;SUBSTITUTE(INDEX('Préstamos'!$C$2:$C$101,MATCH($A137,'Préstamos'!$A$2:$A$101,0))," ",""))&amp;"?text="&amp;SUBSTITUTE("Hola "&amp;B137&amp;", te recuerdo que tu cuota de S/ "&amp;H137&amp;IF(E137&lt;TODAY()," vencio el "," vence el ")&amp;TEXT(E137,"dd/mm")&amp;". Gracias!"," ","%20"),"WhatsApp"))</f>
        <v/>
      </c>
    </row>
    <row r="138">
      <c r="A138" s="14" t="n"/>
      <c r="B138" s="16">
        <f>IF($A138="","",INDEX('Préstamos'!$B$2:$B$101,MATCH($A138,'Préstamos'!$A$2:$A$101,0)))</f>
        <v/>
      </c>
      <c r="C138" s="14" t="n"/>
      <c r="D138" s="14" t="n"/>
      <c r="E138" s="33" t="n"/>
      <c r="F138" s="29">
        <f>IF($A138="","",IF(D138="Solo interés",0,IF(AND(D138&lt;&gt;"Solo interés",C138=INDEX('Préstamos'!$G$2:$G$101,MATCH($A138,'Préstamos'!$A$2:$A$101,0))),INDEX('Préstamos'!$D$2:$D$101,MATCH($A138,'Préstamos'!$A$2:$A$101,0))-INDEX('Préstamos'!$J$2:$J$101,MATCH($A138,'Préstamos'!$A$2:$A$101,0))*(INDEX('Préstamos'!$G$2:$G$101,MATCH($A138,'Préstamos'!$A$2:$A$101,0))-1),INDEX('Préstamos'!$J$2:$J$101,MATCH($A138,'Préstamos'!$A$2:$A$101,0)))))</f>
        <v/>
      </c>
      <c r="G138" s="29">
        <f>IF($A138="","",IF(AND(D138&lt;&gt;"Solo interés",C138=INDEX('Préstamos'!$G$2:$G$101,MATCH($A138,'Préstamos'!$A$2:$A$101,0))),INDEX('Préstamos'!$I$2:$I$101,MATCH($A138,'Préstamos'!$A$2:$A$101,0))-INDEX('Préstamos'!$K$2:$K$101,MATCH($A138,'Préstamos'!$A$2:$A$101,0))*(INDEX('Préstamos'!$G$2:$G$101,MATCH($A138,'Préstamos'!$A$2:$A$101,0))-1),INDEX('Préstamos'!$K$2:$K$101,MATCH($A138,'Préstamos'!$A$2:$A$101,0))))</f>
        <v/>
      </c>
      <c r="H138" s="29">
        <f>IF($A138="","",F138+G138)</f>
        <v/>
      </c>
      <c r="I138" s="14" t="n"/>
      <c r="J138" s="33" t="n"/>
      <c r="K138" s="16">
        <f>IF(OR($A138="",I138="Pagado"),"",MAX(0,TODAY()-E138))</f>
        <v/>
      </c>
      <c r="L138" s="16">
        <f>IF($A138="","",IF(I138="Pagado","Pagado",IF(E138&lt;TODAY(),"Atrasado",IF(E138&lt;=EOMONTH(TODAY(),0),"Este mes","Pendiente"))))</f>
        <v/>
      </c>
      <c r="M138" s="20">
        <f>IF(OR($A138="",I138="Pagado"),"",HYPERLINK("https://wa.me/"&amp;IF(INDEX('Préstamos'!$C$2:$C$101,MATCH($A138,'Préstamos'!$A$2:$A$101,0))="","","51"&amp;SUBSTITUTE(INDEX('Préstamos'!$C$2:$C$101,MATCH($A138,'Préstamos'!$A$2:$A$101,0))," ",""))&amp;"?text="&amp;SUBSTITUTE("Hola "&amp;B138&amp;", te recuerdo que tu cuota de S/ "&amp;H138&amp;IF(E138&lt;TODAY()," vencio el "," vence el ")&amp;TEXT(E138,"dd/mm")&amp;". Gracias!"," ","%20"),"WhatsApp"))</f>
        <v/>
      </c>
    </row>
    <row r="139">
      <c r="A139" s="14" t="n"/>
      <c r="B139" s="16">
        <f>IF($A139="","",INDEX('Préstamos'!$B$2:$B$101,MATCH($A139,'Préstamos'!$A$2:$A$101,0)))</f>
        <v/>
      </c>
      <c r="C139" s="14" t="n"/>
      <c r="D139" s="14" t="n"/>
      <c r="E139" s="33" t="n"/>
      <c r="F139" s="29">
        <f>IF($A139="","",IF(D139="Solo interés",0,IF(AND(D139&lt;&gt;"Solo interés",C139=INDEX('Préstamos'!$G$2:$G$101,MATCH($A139,'Préstamos'!$A$2:$A$101,0))),INDEX('Préstamos'!$D$2:$D$101,MATCH($A139,'Préstamos'!$A$2:$A$101,0))-INDEX('Préstamos'!$J$2:$J$101,MATCH($A139,'Préstamos'!$A$2:$A$101,0))*(INDEX('Préstamos'!$G$2:$G$101,MATCH($A139,'Préstamos'!$A$2:$A$101,0))-1),INDEX('Préstamos'!$J$2:$J$101,MATCH($A139,'Préstamos'!$A$2:$A$101,0)))))</f>
        <v/>
      </c>
      <c r="G139" s="29">
        <f>IF($A139="","",IF(AND(D139&lt;&gt;"Solo interés",C139=INDEX('Préstamos'!$G$2:$G$101,MATCH($A139,'Préstamos'!$A$2:$A$101,0))),INDEX('Préstamos'!$I$2:$I$101,MATCH($A139,'Préstamos'!$A$2:$A$101,0))-INDEX('Préstamos'!$K$2:$K$101,MATCH($A139,'Préstamos'!$A$2:$A$101,0))*(INDEX('Préstamos'!$G$2:$G$101,MATCH($A139,'Préstamos'!$A$2:$A$101,0))-1),INDEX('Préstamos'!$K$2:$K$101,MATCH($A139,'Préstamos'!$A$2:$A$101,0))))</f>
        <v/>
      </c>
      <c r="H139" s="29">
        <f>IF($A139="","",F139+G139)</f>
        <v/>
      </c>
      <c r="I139" s="14" t="n"/>
      <c r="J139" s="33" t="n"/>
      <c r="K139" s="16">
        <f>IF(OR($A139="",I139="Pagado"),"",MAX(0,TODAY()-E139))</f>
        <v/>
      </c>
      <c r="L139" s="16">
        <f>IF($A139="","",IF(I139="Pagado","Pagado",IF(E139&lt;TODAY(),"Atrasado",IF(E139&lt;=EOMONTH(TODAY(),0),"Este mes","Pendiente"))))</f>
        <v/>
      </c>
      <c r="M139" s="20">
        <f>IF(OR($A139="",I139="Pagado"),"",HYPERLINK("https://wa.me/"&amp;IF(INDEX('Préstamos'!$C$2:$C$101,MATCH($A139,'Préstamos'!$A$2:$A$101,0))="","","51"&amp;SUBSTITUTE(INDEX('Préstamos'!$C$2:$C$101,MATCH($A139,'Préstamos'!$A$2:$A$101,0))," ",""))&amp;"?text="&amp;SUBSTITUTE("Hola "&amp;B139&amp;", te recuerdo que tu cuota de S/ "&amp;H139&amp;IF(E139&lt;TODAY()," vencio el "," vence el ")&amp;TEXT(E139,"dd/mm")&amp;". Gracias!"," ","%20"),"WhatsApp"))</f>
        <v/>
      </c>
    </row>
    <row r="140">
      <c r="A140" s="14" t="n"/>
      <c r="B140" s="16">
        <f>IF($A140="","",INDEX('Préstamos'!$B$2:$B$101,MATCH($A140,'Préstamos'!$A$2:$A$101,0)))</f>
        <v/>
      </c>
      <c r="C140" s="14" t="n"/>
      <c r="D140" s="14" t="n"/>
      <c r="E140" s="33" t="n"/>
      <c r="F140" s="29">
        <f>IF($A140="","",IF(D140="Solo interés",0,IF(AND(D140&lt;&gt;"Solo interés",C140=INDEX('Préstamos'!$G$2:$G$101,MATCH($A140,'Préstamos'!$A$2:$A$101,0))),INDEX('Préstamos'!$D$2:$D$101,MATCH($A140,'Préstamos'!$A$2:$A$101,0))-INDEX('Préstamos'!$J$2:$J$101,MATCH($A140,'Préstamos'!$A$2:$A$101,0))*(INDEX('Préstamos'!$G$2:$G$101,MATCH($A140,'Préstamos'!$A$2:$A$101,0))-1),INDEX('Préstamos'!$J$2:$J$101,MATCH($A140,'Préstamos'!$A$2:$A$101,0)))))</f>
        <v/>
      </c>
      <c r="G140" s="29">
        <f>IF($A140="","",IF(AND(D140&lt;&gt;"Solo interés",C140=INDEX('Préstamos'!$G$2:$G$101,MATCH($A140,'Préstamos'!$A$2:$A$101,0))),INDEX('Préstamos'!$I$2:$I$101,MATCH($A140,'Préstamos'!$A$2:$A$101,0))-INDEX('Préstamos'!$K$2:$K$101,MATCH($A140,'Préstamos'!$A$2:$A$101,0))*(INDEX('Préstamos'!$G$2:$G$101,MATCH($A140,'Préstamos'!$A$2:$A$101,0))-1),INDEX('Préstamos'!$K$2:$K$101,MATCH($A140,'Préstamos'!$A$2:$A$101,0))))</f>
        <v/>
      </c>
      <c r="H140" s="29">
        <f>IF($A140="","",F140+G140)</f>
        <v/>
      </c>
      <c r="I140" s="14" t="n"/>
      <c r="J140" s="33" t="n"/>
      <c r="K140" s="16">
        <f>IF(OR($A140="",I140="Pagado"),"",MAX(0,TODAY()-E140))</f>
        <v/>
      </c>
      <c r="L140" s="16">
        <f>IF($A140="","",IF(I140="Pagado","Pagado",IF(E140&lt;TODAY(),"Atrasado",IF(E140&lt;=EOMONTH(TODAY(),0),"Este mes","Pendiente"))))</f>
        <v/>
      </c>
      <c r="M140" s="20">
        <f>IF(OR($A140="",I140="Pagado"),"",HYPERLINK("https://wa.me/"&amp;IF(INDEX('Préstamos'!$C$2:$C$101,MATCH($A140,'Préstamos'!$A$2:$A$101,0))="","","51"&amp;SUBSTITUTE(INDEX('Préstamos'!$C$2:$C$101,MATCH($A140,'Préstamos'!$A$2:$A$101,0))," ",""))&amp;"?text="&amp;SUBSTITUTE("Hola "&amp;B140&amp;", te recuerdo que tu cuota de S/ "&amp;H140&amp;IF(E140&lt;TODAY()," vencio el "," vence el ")&amp;TEXT(E140,"dd/mm")&amp;". Gracias!"," ","%20"),"WhatsApp"))</f>
        <v/>
      </c>
    </row>
    <row r="141">
      <c r="A141" s="14" t="n"/>
      <c r="B141" s="16">
        <f>IF($A141="","",INDEX('Préstamos'!$B$2:$B$101,MATCH($A141,'Préstamos'!$A$2:$A$101,0)))</f>
        <v/>
      </c>
      <c r="C141" s="14" t="n"/>
      <c r="D141" s="14" t="n"/>
      <c r="E141" s="33" t="n"/>
      <c r="F141" s="29">
        <f>IF($A141="","",IF(D141="Solo interés",0,IF(AND(D141&lt;&gt;"Solo interés",C141=INDEX('Préstamos'!$G$2:$G$101,MATCH($A141,'Préstamos'!$A$2:$A$101,0))),INDEX('Préstamos'!$D$2:$D$101,MATCH($A141,'Préstamos'!$A$2:$A$101,0))-INDEX('Préstamos'!$J$2:$J$101,MATCH($A141,'Préstamos'!$A$2:$A$101,0))*(INDEX('Préstamos'!$G$2:$G$101,MATCH($A141,'Préstamos'!$A$2:$A$101,0))-1),INDEX('Préstamos'!$J$2:$J$101,MATCH($A141,'Préstamos'!$A$2:$A$101,0)))))</f>
        <v/>
      </c>
      <c r="G141" s="29">
        <f>IF($A141="","",IF(AND(D141&lt;&gt;"Solo interés",C141=INDEX('Préstamos'!$G$2:$G$101,MATCH($A141,'Préstamos'!$A$2:$A$101,0))),INDEX('Préstamos'!$I$2:$I$101,MATCH($A141,'Préstamos'!$A$2:$A$101,0))-INDEX('Préstamos'!$K$2:$K$101,MATCH($A141,'Préstamos'!$A$2:$A$101,0))*(INDEX('Préstamos'!$G$2:$G$101,MATCH($A141,'Préstamos'!$A$2:$A$101,0))-1),INDEX('Préstamos'!$K$2:$K$101,MATCH($A141,'Préstamos'!$A$2:$A$101,0))))</f>
        <v/>
      </c>
      <c r="H141" s="29">
        <f>IF($A141="","",F141+G141)</f>
        <v/>
      </c>
      <c r="I141" s="14" t="n"/>
      <c r="J141" s="33" t="n"/>
      <c r="K141" s="16">
        <f>IF(OR($A141="",I141="Pagado"),"",MAX(0,TODAY()-E141))</f>
        <v/>
      </c>
      <c r="L141" s="16">
        <f>IF($A141="","",IF(I141="Pagado","Pagado",IF(E141&lt;TODAY(),"Atrasado",IF(E141&lt;=EOMONTH(TODAY(),0),"Este mes","Pendiente"))))</f>
        <v/>
      </c>
      <c r="M141" s="20">
        <f>IF(OR($A141="",I141="Pagado"),"",HYPERLINK("https://wa.me/"&amp;IF(INDEX('Préstamos'!$C$2:$C$101,MATCH($A141,'Préstamos'!$A$2:$A$101,0))="","","51"&amp;SUBSTITUTE(INDEX('Préstamos'!$C$2:$C$101,MATCH($A141,'Préstamos'!$A$2:$A$101,0))," ",""))&amp;"?text="&amp;SUBSTITUTE("Hola "&amp;B141&amp;", te recuerdo que tu cuota de S/ "&amp;H141&amp;IF(E141&lt;TODAY()," vencio el "," vence el ")&amp;TEXT(E141,"dd/mm")&amp;". Gracias!"," ","%20"),"WhatsApp"))</f>
        <v/>
      </c>
    </row>
    <row r="142">
      <c r="A142" s="14" t="n"/>
      <c r="B142" s="16">
        <f>IF($A142="","",INDEX('Préstamos'!$B$2:$B$101,MATCH($A142,'Préstamos'!$A$2:$A$101,0)))</f>
        <v/>
      </c>
      <c r="C142" s="14" t="n"/>
      <c r="D142" s="14" t="n"/>
      <c r="E142" s="33" t="n"/>
      <c r="F142" s="29">
        <f>IF($A142="","",IF(D142="Solo interés",0,IF(AND(D142&lt;&gt;"Solo interés",C142=INDEX('Préstamos'!$G$2:$G$101,MATCH($A142,'Préstamos'!$A$2:$A$101,0))),INDEX('Préstamos'!$D$2:$D$101,MATCH($A142,'Préstamos'!$A$2:$A$101,0))-INDEX('Préstamos'!$J$2:$J$101,MATCH($A142,'Préstamos'!$A$2:$A$101,0))*(INDEX('Préstamos'!$G$2:$G$101,MATCH($A142,'Préstamos'!$A$2:$A$101,0))-1),INDEX('Préstamos'!$J$2:$J$101,MATCH($A142,'Préstamos'!$A$2:$A$101,0)))))</f>
        <v/>
      </c>
      <c r="G142" s="29">
        <f>IF($A142="","",IF(AND(D142&lt;&gt;"Solo interés",C142=INDEX('Préstamos'!$G$2:$G$101,MATCH($A142,'Préstamos'!$A$2:$A$101,0))),INDEX('Préstamos'!$I$2:$I$101,MATCH($A142,'Préstamos'!$A$2:$A$101,0))-INDEX('Préstamos'!$K$2:$K$101,MATCH($A142,'Préstamos'!$A$2:$A$101,0))*(INDEX('Préstamos'!$G$2:$G$101,MATCH($A142,'Préstamos'!$A$2:$A$101,0))-1),INDEX('Préstamos'!$K$2:$K$101,MATCH($A142,'Préstamos'!$A$2:$A$101,0))))</f>
        <v/>
      </c>
      <c r="H142" s="29">
        <f>IF($A142="","",F142+G142)</f>
        <v/>
      </c>
      <c r="I142" s="14" t="n"/>
      <c r="J142" s="33" t="n"/>
      <c r="K142" s="16">
        <f>IF(OR($A142="",I142="Pagado"),"",MAX(0,TODAY()-E142))</f>
        <v/>
      </c>
      <c r="L142" s="16">
        <f>IF($A142="","",IF(I142="Pagado","Pagado",IF(E142&lt;TODAY(),"Atrasado",IF(E142&lt;=EOMONTH(TODAY(),0),"Este mes","Pendiente"))))</f>
        <v/>
      </c>
      <c r="M142" s="20">
        <f>IF(OR($A142="",I142="Pagado"),"",HYPERLINK("https://wa.me/"&amp;IF(INDEX('Préstamos'!$C$2:$C$101,MATCH($A142,'Préstamos'!$A$2:$A$101,0))="","","51"&amp;SUBSTITUTE(INDEX('Préstamos'!$C$2:$C$101,MATCH($A142,'Préstamos'!$A$2:$A$101,0))," ",""))&amp;"?text="&amp;SUBSTITUTE("Hola "&amp;B142&amp;", te recuerdo que tu cuota de S/ "&amp;H142&amp;IF(E142&lt;TODAY()," vencio el "," vence el ")&amp;TEXT(E142,"dd/mm")&amp;". Gracias!"," ","%20"),"WhatsApp"))</f>
        <v/>
      </c>
    </row>
    <row r="143">
      <c r="A143" s="14" t="n"/>
      <c r="B143" s="16">
        <f>IF($A143="","",INDEX('Préstamos'!$B$2:$B$101,MATCH($A143,'Préstamos'!$A$2:$A$101,0)))</f>
        <v/>
      </c>
      <c r="C143" s="14" t="n"/>
      <c r="D143" s="14" t="n"/>
      <c r="E143" s="33" t="n"/>
      <c r="F143" s="29">
        <f>IF($A143="","",IF(D143="Solo interés",0,IF(AND(D143&lt;&gt;"Solo interés",C143=INDEX('Préstamos'!$G$2:$G$101,MATCH($A143,'Préstamos'!$A$2:$A$101,0))),INDEX('Préstamos'!$D$2:$D$101,MATCH($A143,'Préstamos'!$A$2:$A$101,0))-INDEX('Préstamos'!$J$2:$J$101,MATCH($A143,'Préstamos'!$A$2:$A$101,0))*(INDEX('Préstamos'!$G$2:$G$101,MATCH($A143,'Préstamos'!$A$2:$A$101,0))-1),INDEX('Préstamos'!$J$2:$J$101,MATCH($A143,'Préstamos'!$A$2:$A$101,0)))))</f>
        <v/>
      </c>
      <c r="G143" s="29">
        <f>IF($A143="","",IF(AND(D143&lt;&gt;"Solo interés",C143=INDEX('Préstamos'!$G$2:$G$101,MATCH($A143,'Préstamos'!$A$2:$A$101,0))),INDEX('Préstamos'!$I$2:$I$101,MATCH($A143,'Préstamos'!$A$2:$A$101,0))-INDEX('Préstamos'!$K$2:$K$101,MATCH($A143,'Préstamos'!$A$2:$A$101,0))*(INDEX('Préstamos'!$G$2:$G$101,MATCH($A143,'Préstamos'!$A$2:$A$101,0))-1),INDEX('Préstamos'!$K$2:$K$101,MATCH($A143,'Préstamos'!$A$2:$A$101,0))))</f>
        <v/>
      </c>
      <c r="H143" s="29">
        <f>IF($A143="","",F143+G143)</f>
        <v/>
      </c>
      <c r="I143" s="14" t="n"/>
      <c r="J143" s="33" t="n"/>
      <c r="K143" s="16">
        <f>IF(OR($A143="",I143="Pagado"),"",MAX(0,TODAY()-E143))</f>
        <v/>
      </c>
      <c r="L143" s="16">
        <f>IF($A143="","",IF(I143="Pagado","Pagado",IF(E143&lt;TODAY(),"Atrasado",IF(E143&lt;=EOMONTH(TODAY(),0),"Este mes","Pendiente"))))</f>
        <v/>
      </c>
      <c r="M143" s="20">
        <f>IF(OR($A143="",I143="Pagado"),"",HYPERLINK("https://wa.me/"&amp;IF(INDEX('Préstamos'!$C$2:$C$101,MATCH($A143,'Préstamos'!$A$2:$A$101,0))="","","51"&amp;SUBSTITUTE(INDEX('Préstamos'!$C$2:$C$101,MATCH($A143,'Préstamos'!$A$2:$A$101,0))," ",""))&amp;"?text="&amp;SUBSTITUTE("Hola "&amp;B143&amp;", te recuerdo que tu cuota de S/ "&amp;H143&amp;IF(E143&lt;TODAY()," vencio el "," vence el ")&amp;TEXT(E143,"dd/mm")&amp;". Gracias!"," ","%20"),"WhatsApp"))</f>
        <v/>
      </c>
    </row>
    <row r="144">
      <c r="A144" s="14" t="n"/>
      <c r="B144" s="16">
        <f>IF($A144="","",INDEX('Préstamos'!$B$2:$B$101,MATCH($A144,'Préstamos'!$A$2:$A$101,0)))</f>
        <v/>
      </c>
      <c r="C144" s="14" t="n"/>
      <c r="D144" s="14" t="n"/>
      <c r="E144" s="33" t="n"/>
      <c r="F144" s="29">
        <f>IF($A144="","",IF(D144="Solo interés",0,IF(AND(D144&lt;&gt;"Solo interés",C144=INDEX('Préstamos'!$G$2:$G$101,MATCH($A144,'Préstamos'!$A$2:$A$101,0))),INDEX('Préstamos'!$D$2:$D$101,MATCH($A144,'Préstamos'!$A$2:$A$101,0))-INDEX('Préstamos'!$J$2:$J$101,MATCH($A144,'Préstamos'!$A$2:$A$101,0))*(INDEX('Préstamos'!$G$2:$G$101,MATCH($A144,'Préstamos'!$A$2:$A$101,0))-1),INDEX('Préstamos'!$J$2:$J$101,MATCH($A144,'Préstamos'!$A$2:$A$101,0)))))</f>
        <v/>
      </c>
      <c r="G144" s="29">
        <f>IF($A144="","",IF(AND(D144&lt;&gt;"Solo interés",C144=INDEX('Préstamos'!$G$2:$G$101,MATCH($A144,'Préstamos'!$A$2:$A$101,0))),INDEX('Préstamos'!$I$2:$I$101,MATCH($A144,'Préstamos'!$A$2:$A$101,0))-INDEX('Préstamos'!$K$2:$K$101,MATCH($A144,'Préstamos'!$A$2:$A$101,0))*(INDEX('Préstamos'!$G$2:$G$101,MATCH($A144,'Préstamos'!$A$2:$A$101,0))-1),INDEX('Préstamos'!$K$2:$K$101,MATCH($A144,'Préstamos'!$A$2:$A$101,0))))</f>
        <v/>
      </c>
      <c r="H144" s="29">
        <f>IF($A144="","",F144+G144)</f>
        <v/>
      </c>
      <c r="I144" s="14" t="n"/>
      <c r="J144" s="33" t="n"/>
      <c r="K144" s="16">
        <f>IF(OR($A144="",I144="Pagado"),"",MAX(0,TODAY()-E144))</f>
        <v/>
      </c>
      <c r="L144" s="16">
        <f>IF($A144="","",IF(I144="Pagado","Pagado",IF(E144&lt;TODAY(),"Atrasado",IF(E144&lt;=EOMONTH(TODAY(),0),"Este mes","Pendiente"))))</f>
        <v/>
      </c>
      <c r="M144" s="20">
        <f>IF(OR($A144="",I144="Pagado"),"",HYPERLINK("https://wa.me/"&amp;IF(INDEX('Préstamos'!$C$2:$C$101,MATCH($A144,'Préstamos'!$A$2:$A$101,0))="","","51"&amp;SUBSTITUTE(INDEX('Préstamos'!$C$2:$C$101,MATCH($A144,'Préstamos'!$A$2:$A$101,0))," ",""))&amp;"?text="&amp;SUBSTITUTE("Hola "&amp;B144&amp;", te recuerdo que tu cuota de S/ "&amp;H144&amp;IF(E144&lt;TODAY()," vencio el "," vence el ")&amp;TEXT(E144,"dd/mm")&amp;". Gracias!"," ","%20"),"WhatsApp"))</f>
        <v/>
      </c>
    </row>
    <row r="145">
      <c r="A145" s="14" t="n"/>
      <c r="B145" s="16">
        <f>IF($A145="","",INDEX('Préstamos'!$B$2:$B$101,MATCH($A145,'Préstamos'!$A$2:$A$101,0)))</f>
        <v/>
      </c>
      <c r="C145" s="14" t="n"/>
      <c r="D145" s="14" t="n"/>
      <c r="E145" s="33" t="n"/>
      <c r="F145" s="29">
        <f>IF($A145="","",IF(D145="Solo interés",0,IF(AND(D145&lt;&gt;"Solo interés",C145=INDEX('Préstamos'!$G$2:$G$101,MATCH($A145,'Préstamos'!$A$2:$A$101,0))),INDEX('Préstamos'!$D$2:$D$101,MATCH($A145,'Préstamos'!$A$2:$A$101,0))-INDEX('Préstamos'!$J$2:$J$101,MATCH($A145,'Préstamos'!$A$2:$A$101,0))*(INDEX('Préstamos'!$G$2:$G$101,MATCH($A145,'Préstamos'!$A$2:$A$101,0))-1),INDEX('Préstamos'!$J$2:$J$101,MATCH($A145,'Préstamos'!$A$2:$A$101,0)))))</f>
        <v/>
      </c>
      <c r="G145" s="29">
        <f>IF($A145="","",IF(AND(D145&lt;&gt;"Solo interés",C145=INDEX('Préstamos'!$G$2:$G$101,MATCH($A145,'Préstamos'!$A$2:$A$101,0))),INDEX('Préstamos'!$I$2:$I$101,MATCH($A145,'Préstamos'!$A$2:$A$101,0))-INDEX('Préstamos'!$K$2:$K$101,MATCH($A145,'Préstamos'!$A$2:$A$101,0))*(INDEX('Préstamos'!$G$2:$G$101,MATCH($A145,'Préstamos'!$A$2:$A$101,0))-1),INDEX('Préstamos'!$K$2:$K$101,MATCH($A145,'Préstamos'!$A$2:$A$101,0))))</f>
        <v/>
      </c>
      <c r="H145" s="29">
        <f>IF($A145="","",F145+G145)</f>
        <v/>
      </c>
      <c r="I145" s="14" t="n"/>
      <c r="J145" s="33" t="n"/>
      <c r="K145" s="16">
        <f>IF(OR($A145="",I145="Pagado"),"",MAX(0,TODAY()-E145))</f>
        <v/>
      </c>
      <c r="L145" s="16">
        <f>IF($A145="","",IF(I145="Pagado","Pagado",IF(E145&lt;TODAY(),"Atrasado",IF(E145&lt;=EOMONTH(TODAY(),0),"Este mes","Pendiente"))))</f>
        <v/>
      </c>
      <c r="M145" s="20">
        <f>IF(OR($A145="",I145="Pagado"),"",HYPERLINK("https://wa.me/"&amp;IF(INDEX('Préstamos'!$C$2:$C$101,MATCH($A145,'Préstamos'!$A$2:$A$101,0))="","","51"&amp;SUBSTITUTE(INDEX('Préstamos'!$C$2:$C$101,MATCH($A145,'Préstamos'!$A$2:$A$101,0))," ",""))&amp;"?text="&amp;SUBSTITUTE("Hola "&amp;B145&amp;", te recuerdo que tu cuota de S/ "&amp;H145&amp;IF(E145&lt;TODAY()," vencio el "," vence el ")&amp;TEXT(E145,"dd/mm")&amp;". Gracias!"," ","%20"),"WhatsApp"))</f>
        <v/>
      </c>
    </row>
    <row r="146">
      <c r="A146" s="14" t="n"/>
      <c r="B146" s="16">
        <f>IF($A146="","",INDEX('Préstamos'!$B$2:$B$101,MATCH($A146,'Préstamos'!$A$2:$A$101,0)))</f>
        <v/>
      </c>
      <c r="C146" s="14" t="n"/>
      <c r="D146" s="14" t="n"/>
      <c r="E146" s="33" t="n"/>
      <c r="F146" s="29">
        <f>IF($A146="","",IF(D146="Solo interés",0,IF(AND(D146&lt;&gt;"Solo interés",C146=INDEX('Préstamos'!$G$2:$G$101,MATCH($A146,'Préstamos'!$A$2:$A$101,0))),INDEX('Préstamos'!$D$2:$D$101,MATCH($A146,'Préstamos'!$A$2:$A$101,0))-INDEX('Préstamos'!$J$2:$J$101,MATCH($A146,'Préstamos'!$A$2:$A$101,0))*(INDEX('Préstamos'!$G$2:$G$101,MATCH($A146,'Préstamos'!$A$2:$A$101,0))-1),INDEX('Préstamos'!$J$2:$J$101,MATCH($A146,'Préstamos'!$A$2:$A$101,0)))))</f>
        <v/>
      </c>
      <c r="G146" s="29">
        <f>IF($A146="","",IF(AND(D146&lt;&gt;"Solo interés",C146=INDEX('Préstamos'!$G$2:$G$101,MATCH($A146,'Préstamos'!$A$2:$A$101,0))),INDEX('Préstamos'!$I$2:$I$101,MATCH($A146,'Préstamos'!$A$2:$A$101,0))-INDEX('Préstamos'!$K$2:$K$101,MATCH($A146,'Préstamos'!$A$2:$A$101,0))*(INDEX('Préstamos'!$G$2:$G$101,MATCH($A146,'Préstamos'!$A$2:$A$101,0))-1),INDEX('Préstamos'!$K$2:$K$101,MATCH($A146,'Préstamos'!$A$2:$A$101,0))))</f>
        <v/>
      </c>
      <c r="H146" s="29">
        <f>IF($A146="","",F146+G146)</f>
        <v/>
      </c>
      <c r="I146" s="14" t="n"/>
      <c r="J146" s="33" t="n"/>
      <c r="K146" s="16">
        <f>IF(OR($A146="",I146="Pagado"),"",MAX(0,TODAY()-E146))</f>
        <v/>
      </c>
      <c r="L146" s="16">
        <f>IF($A146="","",IF(I146="Pagado","Pagado",IF(E146&lt;TODAY(),"Atrasado",IF(E146&lt;=EOMONTH(TODAY(),0),"Este mes","Pendiente"))))</f>
        <v/>
      </c>
      <c r="M146" s="20">
        <f>IF(OR($A146="",I146="Pagado"),"",HYPERLINK("https://wa.me/"&amp;IF(INDEX('Préstamos'!$C$2:$C$101,MATCH($A146,'Préstamos'!$A$2:$A$101,0))="","","51"&amp;SUBSTITUTE(INDEX('Préstamos'!$C$2:$C$101,MATCH($A146,'Préstamos'!$A$2:$A$101,0))," ",""))&amp;"?text="&amp;SUBSTITUTE("Hola "&amp;B146&amp;", te recuerdo que tu cuota de S/ "&amp;H146&amp;IF(E146&lt;TODAY()," vencio el "," vence el ")&amp;TEXT(E146,"dd/mm")&amp;". Gracias!"," ","%20"),"WhatsApp"))</f>
        <v/>
      </c>
    </row>
    <row r="147">
      <c r="A147" s="14" t="n"/>
      <c r="B147" s="16">
        <f>IF($A147="","",INDEX('Préstamos'!$B$2:$B$101,MATCH($A147,'Préstamos'!$A$2:$A$101,0)))</f>
        <v/>
      </c>
      <c r="C147" s="14" t="n"/>
      <c r="D147" s="14" t="n"/>
      <c r="E147" s="33" t="n"/>
      <c r="F147" s="29">
        <f>IF($A147="","",IF(D147="Solo interés",0,IF(AND(D147&lt;&gt;"Solo interés",C147=INDEX('Préstamos'!$G$2:$G$101,MATCH($A147,'Préstamos'!$A$2:$A$101,0))),INDEX('Préstamos'!$D$2:$D$101,MATCH($A147,'Préstamos'!$A$2:$A$101,0))-INDEX('Préstamos'!$J$2:$J$101,MATCH($A147,'Préstamos'!$A$2:$A$101,0))*(INDEX('Préstamos'!$G$2:$G$101,MATCH($A147,'Préstamos'!$A$2:$A$101,0))-1),INDEX('Préstamos'!$J$2:$J$101,MATCH($A147,'Préstamos'!$A$2:$A$101,0)))))</f>
        <v/>
      </c>
      <c r="G147" s="29">
        <f>IF($A147="","",IF(AND(D147&lt;&gt;"Solo interés",C147=INDEX('Préstamos'!$G$2:$G$101,MATCH($A147,'Préstamos'!$A$2:$A$101,0))),INDEX('Préstamos'!$I$2:$I$101,MATCH($A147,'Préstamos'!$A$2:$A$101,0))-INDEX('Préstamos'!$K$2:$K$101,MATCH($A147,'Préstamos'!$A$2:$A$101,0))*(INDEX('Préstamos'!$G$2:$G$101,MATCH($A147,'Préstamos'!$A$2:$A$101,0))-1),INDEX('Préstamos'!$K$2:$K$101,MATCH($A147,'Préstamos'!$A$2:$A$101,0))))</f>
        <v/>
      </c>
      <c r="H147" s="29">
        <f>IF($A147="","",F147+G147)</f>
        <v/>
      </c>
      <c r="I147" s="14" t="n"/>
      <c r="J147" s="33" t="n"/>
      <c r="K147" s="16">
        <f>IF(OR($A147="",I147="Pagado"),"",MAX(0,TODAY()-E147))</f>
        <v/>
      </c>
      <c r="L147" s="16">
        <f>IF($A147="","",IF(I147="Pagado","Pagado",IF(E147&lt;TODAY(),"Atrasado",IF(E147&lt;=EOMONTH(TODAY(),0),"Este mes","Pendiente"))))</f>
        <v/>
      </c>
      <c r="M147" s="20">
        <f>IF(OR($A147="",I147="Pagado"),"",HYPERLINK("https://wa.me/"&amp;IF(INDEX('Préstamos'!$C$2:$C$101,MATCH($A147,'Préstamos'!$A$2:$A$101,0))="","","51"&amp;SUBSTITUTE(INDEX('Préstamos'!$C$2:$C$101,MATCH($A147,'Préstamos'!$A$2:$A$101,0))," ",""))&amp;"?text="&amp;SUBSTITUTE("Hola "&amp;B147&amp;", te recuerdo que tu cuota de S/ "&amp;H147&amp;IF(E147&lt;TODAY()," vencio el "," vence el ")&amp;TEXT(E147,"dd/mm")&amp;". Gracias!"," ","%20"),"WhatsApp"))</f>
        <v/>
      </c>
    </row>
    <row r="148">
      <c r="A148" s="14" t="n"/>
      <c r="B148" s="16">
        <f>IF($A148="","",INDEX('Préstamos'!$B$2:$B$101,MATCH($A148,'Préstamos'!$A$2:$A$101,0)))</f>
        <v/>
      </c>
      <c r="C148" s="14" t="n"/>
      <c r="D148" s="14" t="n"/>
      <c r="E148" s="33" t="n"/>
      <c r="F148" s="29">
        <f>IF($A148="","",IF(D148="Solo interés",0,IF(AND(D148&lt;&gt;"Solo interés",C148=INDEX('Préstamos'!$G$2:$G$101,MATCH($A148,'Préstamos'!$A$2:$A$101,0))),INDEX('Préstamos'!$D$2:$D$101,MATCH($A148,'Préstamos'!$A$2:$A$101,0))-INDEX('Préstamos'!$J$2:$J$101,MATCH($A148,'Préstamos'!$A$2:$A$101,0))*(INDEX('Préstamos'!$G$2:$G$101,MATCH($A148,'Préstamos'!$A$2:$A$101,0))-1),INDEX('Préstamos'!$J$2:$J$101,MATCH($A148,'Préstamos'!$A$2:$A$101,0)))))</f>
        <v/>
      </c>
      <c r="G148" s="29">
        <f>IF($A148="","",IF(AND(D148&lt;&gt;"Solo interés",C148=INDEX('Préstamos'!$G$2:$G$101,MATCH($A148,'Préstamos'!$A$2:$A$101,0))),INDEX('Préstamos'!$I$2:$I$101,MATCH($A148,'Préstamos'!$A$2:$A$101,0))-INDEX('Préstamos'!$K$2:$K$101,MATCH($A148,'Préstamos'!$A$2:$A$101,0))*(INDEX('Préstamos'!$G$2:$G$101,MATCH($A148,'Préstamos'!$A$2:$A$101,0))-1),INDEX('Préstamos'!$K$2:$K$101,MATCH($A148,'Préstamos'!$A$2:$A$101,0))))</f>
        <v/>
      </c>
      <c r="H148" s="29">
        <f>IF($A148="","",F148+G148)</f>
        <v/>
      </c>
      <c r="I148" s="14" t="n"/>
      <c r="J148" s="33" t="n"/>
      <c r="K148" s="16">
        <f>IF(OR($A148="",I148="Pagado"),"",MAX(0,TODAY()-E148))</f>
        <v/>
      </c>
      <c r="L148" s="16">
        <f>IF($A148="","",IF(I148="Pagado","Pagado",IF(E148&lt;TODAY(),"Atrasado",IF(E148&lt;=EOMONTH(TODAY(),0),"Este mes","Pendiente"))))</f>
        <v/>
      </c>
      <c r="M148" s="20">
        <f>IF(OR($A148="",I148="Pagado"),"",HYPERLINK("https://wa.me/"&amp;IF(INDEX('Préstamos'!$C$2:$C$101,MATCH($A148,'Préstamos'!$A$2:$A$101,0))="","","51"&amp;SUBSTITUTE(INDEX('Préstamos'!$C$2:$C$101,MATCH($A148,'Préstamos'!$A$2:$A$101,0))," ",""))&amp;"?text="&amp;SUBSTITUTE("Hola "&amp;B148&amp;", te recuerdo que tu cuota de S/ "&amp;H148&amp;IF(E148&lt;TODAY()," vencio el "," vence el ")&amp;TEXT(E148,"dd/mm")&amp;". Gracias!"," ","%20"),"WhatsApp"))</f>
        <v/>
      </c>
    </row>
    <row r="149">
      <c r="A149" s="14" t="n"/>
      <c r="B149" s="16">
        <f>IF($A149="","",INDEX('Préstamos'!$B$2:$B$101,MATCH($A149,'Préstamos'!$A$2:$A$101,0)))</f>
        <v/>
      </c>
      <c r="C149" s="14" t="n"/>
      <c r="D149" s="14" t="n"/>
      <c r="E149" s="33" t="n"/>
      <c r="F149" s="29">
        <f>IF($A149="","",IF(D149="Solo interés",0,IF(AND(D149&lt;&gt;"Solo interés",C149=INDEX('Préstamos'!$G$2:$G$101,MATCH($A149,'Préstamos'!$A$2:$A$101,0))),INDEX('Préstamos'!$D$2:$D$101,MATCH($A149,'Préstamos'!$A$2:$A$101,0))-INDEX('Préstamos'!$J$2:$J$101,MATCH($A149,'Préstamos'!$A$2:$A$101,0))*(INDEX('Préstamos'!$G$2:$G$101,MATCH($A149,'Préstamos'!$A$2:$A$101,0))-1),INDEX('Préstamos'!$J$2:$J$101,MATCH($A149,'Préstamos'!$A$2:$A$101,0)))))</f>
        <v/>
      </c>
      <c r="G149" s="29">
        <f>IF($A149="","",IF(AND(D149&lt;&gt;"Solo interés",C149=INDEX('Préstamos'!$G$2:$G$101,MATCH($A149,'Préstamos'!$A$2:$A$101,0))),INDEX('Préstamos'!$I$2:$I$101,MATCH($A149,'Préstamos'!$A$2:$A$101,0))-INDEX('Préstamos'!$K$2:$K$101,MATCH($A149,'Préstamos'!$A$2:$A$101,0))*(INDEX('Préstamos'!$G$2:$G$101,MATCH($A149,'Préstamos'!$A$2:$A$101,0))-1),INDEX('Préstamos'!$K$2:$K$101,MATCH($A149,'Préstamos'!$A$2:$A$101,0))))</f>
        <v/>
      </c>
      <c r="H149" s="29">
        <f>IF($A149="","",F149+G149)</f>
        <v/>
      </c>
      <c r="I149" s="14" t="n"/>
      <c r="J149" s="33" t="n"/>
      <c r="K149" s="16">
        <f>IF(OR($A149="",I149="Pagado"),"",MAX(0,TODAY()-E149))</f>
        <v/>
      </c>
      <c r="L149" s="16">
        <f>IF($A149="","",IF(I149="Pagado","Pagado",IF(E149&lt;TODAY(),"Atrasado",IF(E149&lt;=EOMONTH(TODAY(),0),"Este mes","Pendiente"))))</f>
        <v/>
      </c>
      <c r="M149" s="20">
        <f>IF(OR($A149="",I149="Pagado"),"",HYPERLINK("https://wa.me/"&amp;IF(INDEX('Préstamos'!$C$2:$C$101,MATCH($A149,'Préstamos'!$A$2:$A$101,0))="","","51"&amp;SUBSTITUTE(INDEX('Préstamos'!$C$2:$C$101,MATCH($A149,'Préstamos'!$A$2:$A$101,0))," ",""))&amp;"?text="&amp;SUBSTITUTE("Hola "&amp;B149&amp;", te recuerdo que tu cuota de S/ "&amp;H149&amp;IF(E149&lt;TODAY()," vencio el "," vence el ")&amp;TEXT(E149,"dd/mm")&amp;". Gracias!"," ","%20"),"WhatsApp"))</f>
        <v/>
      </c>
    </row>
    <row r="150">
      <c r="A150" s="14" t="n"/>
      <c r="B150" s="16">
        <f>IF($A150="","",INDEX('Préstamos'!$B$2:$B$101,MATCH($A150,'Préstamos'!$A$2:$A$101,0)))</f>
        <v/>
      </c>
      <c r="C150" s="14" t="n"/>
      <c r="D150" s="14" t="n"/>
      <c r="E150" s="33" t="n"/>
      <c r="F150" s="29">
        <f>IF($A150="","",IF(D150="Solo interés",0,IF(AND(D150&lt;&gt;"Solo interés",C150=INDEX('Préstamos'!$G$2:$G$101,MATCH($A150,'Préstamos'!$A$2:$A$101,0))),INDEX('Préstamos'!$D$2:$D$101,MATCH($A150,'Préstamos'!$A$2:$A$101,0))-INDEX('Préstamos'!$J$2:$J$101,MATCH($A150,'Préstamos'!$A$2:$A$101,0))*(INDEX('Préstamos'!$G$2:$G$101,MATCH($A150,'Préstamos'!$A$2:$A$101,0))-1),INDEX('Préstamos'!$J$2:$J$101,MATCH($A150,'Préstamos'!$A$2:$A$101,0)))))</f>
        <v/>
      </c>
      <c r="G150" s="29">
        <f>IF($A150="","",IF(AND(D150&lt;&gt;"Solo interés",C150=INDEX('Préstamos'!$G$2:$G$101,MATCH($A150,'Préstamos'!$A$2:$A$101,0))),INDEX('Préstamos'!$I$2:$I$101,MATCH($A150,'Préstamos'!$A$2:$A$101,0))-INDEX('Préstamos'!$K$2:$K$101,MATCH($A150,'Préstamos'!$A$2:$A$101,0))*(INDEX('Préstamos'!$G$2:$G$101,MATCH($A150,'Préstamos'!$A$2:$A$101,0))-1),INDEX('Préstamos'!$K$2:$K$101,MATCH($A150,'Préstamos'!$A$2:$A$101,0))))</f>
        <v/>
      </c>
      <c r="H150" s="29">
        <f>IF($A150="","",F150+G150)</f>
        <v/>
      </c>
      <c r="I150" s="14" t="n"/>
      <c r="J150" s="33" t="n"/>
      <c r="K150" s="16">
        <f>IF(OR($A150="",I150="Pagado"),"",MAX(0,TODAY()-E150))</f>
        <v/>
      </c>
      <c r="L150" s="16">
        <f>IF($A150="","",IF(I150="Pagado","Pagado",IF(E150&lt;TODAY(),"Atrasado",IF(E150&lt;=EOMONTH(TODAY(),0),"Este mes","Pendiente"))))</f>
        <v/>
      </c>
      <c r="M150" s="20">
        <f>IF(OR($A150="",I150="Pagado"),"",HYPERLINK("https://wa.me/"&amp;IF(INDEX('Préstamos'!$C$2:$C$101,MATCH($A150,'Préstamos'!$A$2:$A$101,0))="","","51"&amp;SUBSTITUTE(INDEX('Préstamos'!$C$2:$C$101,MATCH($A150,'Préstamos'!$A$2:$A$101,0))," ",""))&amp;"?text="&amp;SUBSTITUTE("Hola "&amp;B150&amp;", te recuerdo que tu cuota de S/ "&amp;H150&amp;IF(E150&lt;TODAY()," vencio el "," vence el ")&amp;TEXT(E150,"dd/mm")&amp;". Gracias!"," ","%20"),"WhatsApp"))</f>
        <v/>
      </c>
    </row>
    <row r="151">
      <c r="A151" s="14" t="n"/>
      <c r="B151" s="16">
        <f>IF($A151="","",INDEX('Préstamos'!$B$2:$B$101,MATCH($A151,'Préstamos'!$A$2:$A$101,0)))</f>
        <v/>
      </c>
      <c r="C151" s="14" t="n"/>
      <c r="D151" s="14" t="n"/>
      <c r="E151" s="33" t="n"/>
      <c r="F151" s="29">
        <f>IF($A151="","",IF(D151="Solo interés",0,IF(AND(D151&lt;&gt;"Solo interés",C151=INDEX('Préstamos'!$G$2:$G$101,MATCH($A151,'Préstamos'!$A$2:$A$101,0))),INDEX('Préstamos'!$D$2:$D$101,MATCH($A151,'Préstamos'!$A$2:$A$101,0))-INDEX('Préstamos'!$J$2:$J$101,MATCH($A151,'Préstamos'!$A$2:$A$101,0))*(INDEX('Préstamos'!$G$2:$G$101,MATCH($A151,'Préstamos'!$A$2:$A$101,0))-1),INDEX('Préstamos'!$J$2:$J$101,MATCH($A151,'Préstamos'!$A$2:$A$101,0)))))</f>
        <v/>
      </c>
      <c r="G151" s="29">
        <f>IF($A151="","",IF(AND(D151&lt;&gt;"Solo interés",C151=INDEX('Préstamos'!$G$2:$G$101,MATCH($A151,'Préstamos'!$A$2:$A$101,0))),INDEX('Préstamos'!$I$2:$I$101,MATCH($A151,'Préstamos'!$A$2:$A$101,0))-INDEX('Préstamos'!$K$2:$K$101,MATCH($A151,'Préstamos'!$A$2:$A$101,0))*(INDEX('Préstamos'!$G$2:$G$101,MATCH($A151,'Préstamos'!$A$2:$A$101,0))-1),INDEX('Préstamos'!$K$2:$K$101,MATCH($A151,'Préstamos'!$A$2:$A$101,0))))</f>
        <v/>
      </c>
      <c r="H151" s="29">
        <f>IF($A151="","",F151+G151)</f>
        <v/>
      </c>
      <c r="I151" s="14" t="n"/>
      <c r="J151" s="33" t="n"/>
      <c r="K151" s="16">
        <f>IF(OR($A151="",I151="Pagado"),"",MAX(0,TODAY()-E151))</f>
        <v/>
      </c>
      <c r="L151" s="16">
        <f>IF($A151="","",IF(I151="Pagado","Pagado",IF(E151&lt;TODAY(),"Atrasado",IF(E151&lt;=EOMONTH(TODAY(),0),"Este mes","Pendiente"))))</f>
        <v/>
      </c>
      <c r="M151" s="20">
        <f>IF(OR($A151="",I151="Pagado"),"",HYPERLINK("https://wa.me/"&amp;IF(INDEX('Préstamos'!$C$2:$C$101,MATCH($A151,'Préstamos'!$A$2:$A$101,0))="","","51"&amp;SUBSTITUTE(INDEX('Préstamos'!$C$2:$C$101,MATCH($A151,'Préstamos'!$A$2:$A$101,0))," ",""))&amp;"?text="&amp;SUBSTITUTE("Hola "&amp;B151&amp;", te recuerdo que tu cuota de S/ "&amp;H151&amp;IF(E151&lt;TODAY()," vencio el "," vence el ")&amp;TEXT(E151,"dd/mm")&amp;". Gracias!"," ","%20"),"WhatsApp"))</f>
        <v/>
      </c>
    </row>
    <row r="152">
      <c r="A152" s="14" t="n"/>
      <c r="B152" s="16">
        <f>IF($A152="","",INDEX('Préstamos'!$B$2:$B$101,MATCH($A152,'Préstamos'!$A$2:$A$101,0)))</f>
        <v/>
      </c>
      <c r="C152" s="14" t="n"/>
      <c r="D152" s="14" t="n"/>
      <c r="E152" s="33" t="n"/>
      <c r="F152" s="29">
        <f>IF($A152="","",IF(D152="Solo interés",0,IF(AND(D152&lt;&gt;"Solo interés",C152=INDEX('Préstamos'!$G$2:$G$101,MATCH($A152,'Préstamos'!$A$2:$A$101,0))),INDEX('Préstamos'!$D$2:$D$101,MATCH($A152,'Préstamos'!$A$2:$A$101,0))-INDEX('Préstamos'!$J$2:$J$101,MATCH($A152,'Préstamos'!$A$2:$A$101,0))*(INDEX('Préstamos'!$G$2:$G$101,MATCH($A152,'Préstamos'!$A$2:$A$101,0))-1),INDEX('Préstamos'!$J$2:$J$101,MATCH($A152,'Préstamos'!$A$2:$A$101,0)))))</f>
        <v/>
      </c>
      <c r="G152" s="29">
        <f>IF($A152="","",IF(AND(D152&lt;&gt;"Solo interés",C152=INDEX('Préstamos'!$G$2:$G$101,MATCH($A152,'Préstamos'!$A$2:$A$101,0))),INDEX('Préstamos'!$I$2:$I$101,MATCH($A152,'Préstamos'!$A$2:$A$101,0))-INDEX('Préstamos'!$K$2:$K$101,MATCH($A152,'Préstamos'!$A$2:$A$101,0))*(INDEX('Préstamos'!$G$2:$G$101,MATCH($A152,'Préstamos'!$A$2:$A$101,0))-1),INDEX('Préstamos'!$K$2:$K$101,MATCH($A152,'Préstamos'!$A$2:$A$101,0))))</f>
        <v/>
      </c>
      <c r="H152" s="29">
        <f>IF($A152="","",F152+G152)</f>
        <v/>
      </c>
      <c r="I152" s="14" t="n"/>
      <c r="J152" s="33" t="n"/>
      <c r="K152" s="16">
        <f>IF(OR($A152="",I152="Pagado"),"",MAX(0,TODAY()-E152))</f>
        <v/>
      </c>
      <c r="L152" s="16">
        <f>IF($A152="","",IF(I152="Pagado","Pagado",IF(E152&lt;TODAY(),"Atrasado",IF(E152&lt;=EOMONTH(TODAY(),0),"Este mes","Pendiente"))))</f>
        <v/>
      </c>
      <c r="M152" s="20">
        <f>IF(OR($A152="",I152="Pagado"),"",HYPERLINK("https://wa.me/"&amp;IF(INDEX('Préstamos'!$C$2:$C$101,MATCH($A152,'Préstamos'!$A$2:$A$101,0))="","","51"&amp;SUBSTITUTE(INDEX('Préstamos'!$C$2:$C$101,MATCH($A152,'Préstamos'!$A$2:$A$101,0))," ",""))&amp;"?text="&amp;SUBSTITUTE("Hola "&amp;B152&amp;", te recuerdo que tu cuota de S/ "&amp;H152&amp;IF(E152&lt;TODAY()," vencio el "," vence el ")&amp;TEXT(E152,"dd/mm")&amp;". Gracias!"," ","%20"),"WhatsApp"))</f>
        <v/>
      </c>
    </row>
    <row r="153">
      <c r="A153" s="14" t="n"/>
      <c r="B153" s="16">
        <f>IF($A153="","",INDEX('Préstamos'!$B$2:$B$101,MATCH($A153,'Préstamos'!$A$2:$A$101,0)))</f>
        <v/>
      </c>
      <c r="C153" s="14" t="n"/>
      <c r="D153" s="14" t="n"/>
      <c r="E153" s="33" t="n"/>
      <c r="F153" s="29">
        <f>IF($A153="","",IF(D153="Solo interés",0,IF(AND(D153&lt;&gt;"Solo interés",C153=INDEX('Préstamos'!$G$2:$G$101,MATCH($A153,'Préstamos'!$A$2:$A$101,0))),INDEX('Préstamos'!$D$2:$D$101,MATCH($A153,'Préstamos'!$A$2:$A$101,0))-INDEX('Préstamos'!$J$2:$J$101,MATCH($A153,'Préstamos'!$A$2:$A$101,0))*(INDEX('Préstamos'!$G$2:$G$101,MATCH($A153,'Préstamos'!$A$2:$A$101,0))-1),INDEX('Préstamos'!$J$2:$J$101,MATCH($A153,'Préstamos'!$A$2:$A$101,0)))))</f>
        <v/>
      </c>
      <c r="G153" s="29">
        <f>IF($A153="","",IF(AND(D153&lt;&gt;"Solo interés",C153=INDEX('Préstamos'!$G$2:$G$101,MATCH($A153,'Préstamos'!$A$2:$A$101,0))),INDEX('Préstamos'!$I$2:$I$101,MATCH($A153,'Préstamos'!$A$2:$A$101,0))-INDEX('Préstamos'!$K$2:$K$101,MATCH($A153,'Préstamos'!$A$2:$A$101,0))*(INDEX('Préstamos'!$G$2:$G$101,MATCH($A153,'Préstamos'!$A$2:$A$101,0))-1),INDEX('Préstamos'!$K$2:$K$101,MATCH($A153,'Préstamos'!$A$2:$A$101,0))))</f>
        <v/>
      </c>
      <c r="H153" s="29">
        <f>IF($A153="","",F153+G153)</f>
        <v/>
      </c>
      <c r="I153" s="14" t="n"/>
      <c r="J153" s="33" t="n"/>
      <c r="K153" s="16">
        <f>IF(OR($A153="",I153="Pagado"),"",MAX(0,TODAY()-E153))</f>
        <v/>
      </c>
      <c r="L153" s="16">
        <f>IF($A153="","",IF(I153="Pagado","Pagado",IF(E153&lt;TODAY(),"Atrasado",IF(E153&lt;=EOMONTH(TODAY(),0),"Este mes","Pendiente"))))</f>
        <v/>
      </c>
      <c r="M153" s="20">
        <f>IF(OR($A153="",I153="Pagado"),"",HYPERLINK("https://wa.me/"&amp;IF(INDEX('Préstamos'!$C$2:$C$101,MATCH($A153,'Préstamos'!$A$2:$A$101,0))="","","51"&amp;SUBSTITUTE(INDEX('Préstamos'!$C$2:$C$101,MATCH($A153,'Préstamos'!$A$2:$A$101,0))," ",""))&amp;"?text="&amp;SUBSTITUTE("Hola "&amp;B153&amp;", te recuerdo que tu cuota de S/ "&amp;H153&amp;IF(E153&lt;TODAY()," vencio el "," vence el ")&amp;TEXT(E153,"dd/mm")&amp;". Gracias!"," ","%20"),"WhatsApp"))</f>
        <v/>
      </c>
    </row>
    <row r="154">
      <c r="A154" s="14" t="n"/>
      <c r="B154" s="16">
        <f>IF($A154="","",INDEX('Préstamos'!$B$2:$B$101,MATCH($A154,'Préstamos'!$A$2:$A$101,0)))</f>
        <v/>
      </c>
      <c r="C154" s="14" t="n"/>
      <c r="D154" s="14" t="n"/>
      <c r="E154" s="33" t="n"/>
      <c r="F154" s="29">
        <f>IF($A154="","",IF(D154="Solo interés",0,IF(AND(D154&lt;&gt;"Solo interés",C154=INDEX('Préstamos'!$G$2:$G$101,MATCH($A154,'Préstamos'!$A$2:$A$101,0))),INDEX('Préstamos'!$D$2:$D$101,MATCH($A154,'Préstamos'!$A$2:$A$101,0))-INDEX('Préstamos'!$J$2:$J$101,MATCH($A154,'Préstamos'!$A$2:$A$101,0))*(INDEX('Préstamos'!$G$2:$G$101,MATCH($A154,'Préstamos'!$A$2:$A$101,0))-1),INDEX('Préstamos'!$J$2:$J$101,MATCH($A154,'Préstamos'!$A$2:$A$101,0)))))</f>
        <v/>
      </c>
      <c r="G154" s="29">
        <f>IF($A154="","",IF(AND(D154&lt;&gt;"Solo interés",C154=INDEX('Préstamos'!$G$2:$G$101,MATCH($A154,'Préstamos'!$A$2:$A$101,0))),INDEX('Préstamos'!$I$2:$I$101,MATCH($A154,'Préstamos'!$A$2:$A$101,0))-INDEX('Préstamos'!$K$2:$K$101,MATCH($A154,'Préstamos'!$A$2:$A$101,0))*(INDEX('Préstamos'!$G$2:$G$101,MATCH($A154,'Préstamos'!$A$2:$A$101,0))-1),INDEX('Préstamos'!$K$2:$K$101,MATCH($A154,'Préstamos'!$A$2:$A$101,0))))</f>
        <v/>
      </c>
      <c r="H154" s="29">
        <f>IF($A154="","",F154+G154)</f>
        <v/>
      </c>
      <c r="I154" s="14" t="n"/>
      <c r="J154" s="33" t="n"/>
      <c r="K154" s="16">
        <f>IF(OR($A154="",I154="Pagado"),"",MAX(0,TODAY()-E154))</f>
        <v/>
      </c>
      <c r="L154" s="16">
        <f>IF($A154="","",IF(I154="Pagado","Pagado",IF(E154&lt;TODAY(),"Atrasado",IF(E154&lt;=EOMONTH(TODAY(),0),"Este mes","Pendiente"))))</f>
        <v/>
      </c>
      <c r="M154" s="20">
        <f>IF(OR($A154="",I154="Pagado"),"",HYPERLINK("https://wa.me/"&amp;IF(INDEX('Préstamos'!$C$2:$C$101,MATCH($A154,'Préstamos'!$A$2:$A$101,0))="","","51"&amp;SUBSTITUTE(INDEX('Préstamos'!$C$2:$C$101,MATCH($A154,'Préstamos'!$A$2:$A$101,0))," ",""))&amp;"?text="&amp;SUBSTITUTE("Hola "&amp;B154&amp;", te recuerdo que tu cuota de S/ "&amp;H154&amp;IF(E154&lt;TODAY()," vencio el "," vence el ")&amp;TEXT(E154,"dd/mm")&amp;". Gracias!"," ","%20"),"WhatsApp"))</f>
        <v/>
      </c>
    </row>
    <row r="155">
      <c r="A155" s="14" t="n"/>
      <c r="B155" s="16">
        <f>IF($A155="","",INDEX('Préstamos'!$B$2:$B$101,MATCH($A155,'Préstamos'!$A$2:$A$101,0)))</f>
        <v/>
      </c>
      <c r="C155" s="14" t="n"/>
      <c r="D155" s="14" t="n"/>
      <c r="E155" s="33" t="n"/>
      <c r="F155" s="29">
        <f>IF($A155="","",IF(D155="Solo interés",0,IF(AND(D155&lt;&gt;"Solo interés",C155=INDEX('Préstamos'!$G$2:$G$101,MATCH($A155,'Préstamos'!$A$2:$A$101,0))),INDEX('Préstamos'!$D$2:$D$101,MATCH($A155,'Préstamos'!$A$2:$A$101,0))-INDEX('Préstamos'!$J$2:$J$101,MATCH($A155,'Préstamos'!$A$2:$A$101,0))*(INDEX('Préstamos'!$G$2:$G$101,MATCH($A155,'Préstamos'!$A$2:$A$101,0))-1),INDEX('Préstamos'!$J$2:$J$101,MATCH($A155,'Préstamos'!$A$2:$A$101,0)))))</f>
        <v/>
      </c>
      <c r="G155" s="29">
        <f>IF($A155="","",IF(AND(D155&lt;&gt;"Solo interés",C155=INDEX('Préstamos'!$G$2:$G$101,MATCH($A155,'Préstamos'!$A$2:$A$101,0))),INDEX('Préstamos'!$I$2:$I$101,MATCH($A155,'Préstamos'!$A$2:$A$101,0))-INDEX('Préstamos'!$K$2:$K$101,MATCH($A155,'Préstamos'!$A$2:$A$101,0))*(INDEX('Préstamos'!$G$2:$G$101,MATCH($A155,'Préstamos'!$A$2:$A$101,0))-1),INDEX('Préstamos'!$K$2:$K$101,MATCH($A155,'Préstamos'!$A$2:$A$101,0))))</f>
        <v/>
      </c>
      <c r="H155" s="29">
        <f>IF($A155="","",F155+G155)</f>
        <v/>
      </c>
      <c r="I155" s="14" t="n"/>
      <c r="J155" s="33" t="n"/>
      <c r="K155" s="16">
        <f>IF(OR($A155="",I155="Pagado"),"",MAX(0,TODAY()-E155))</f>
        <v/>
      </c>
      <c r="L155" s="16">
        <f>IF($A155="","",IF(I155="Pagado","Pagado",IF(E155&lt;TODAY(),"Atrasado",IF(E155&lt;=EOMONTH(TODAY(),0),"Este mes","Pendiente"))))</f>
        <v/>
      </c>
      <c r="M155" s="20">
        <f>IF(OR($A155="",I155="Pagado"),"",HYPERLINK("https://wa.me/"&amp;IF(INDEX('Préstamos'!$C$2:$C$101,MATCH($A155,'Préstamos'!$A$2:$A$101,0))="","","51"&amp;SUBSTITUTE(INDEX('Préstamos'!$C$2:$C$101,MATCH($A155,'Préstamos'!$A$2:$A$101,0))," ",""))&amp;"?text="&amp;SUBSTITUTE("Hola "&amp;B155&amp;", te recuerdo que tu cuota de S/ "&amp;H155&amp;IF(E155&lt;TODAY()," vencio el "," vence el ")&amp;TEXT(E155,"dd/mm")&amp;". Gracias!"," ","%20"),"WhatsApp"))</f>
        <v/>
      </c>
    </row>
    <row r="156">
      <c r="A156" s="14" t="n"/>
      <c r="B156" s="16">
        <f>IF($A156="","",INDEX('Préstamos'!$B$2:$B$101,MATCH($A156,'Préstamos'!$A$2:$A$101,0)))</f>
        <v/>
      </c>
      <c r="C156" s="14" t="n"/>
      <c r="D156" s="14" t="n"/>
      <c r="E156" s="33" t="n"/>
      <c r="F156" s="29">
        <f>IF($A156="","",IF(D156="Solo interés",0,IF(AND(D156&lt;&gt;"Solo interés",C156=INDEX('Préstamos'!$G$2:$G$101,MATCH($A156,'Préstamos'!$A$2:$A$101,0))),INDEX('Préstamos'!$D$2:$D$101,MATCH($A156,'Préstamos'!$A$2:$A$101,0))-INDEX('Préstamos'!$J$2:$J$101,MATCH($A156,'Préstamos'!$A$2:$A$101,0))*(INDEX('Préstamos'!$G$2:$G$101,MATCH($A156,'Préstamos'!$A$2:$A$101,0))-1),INDEX('Préstamos'!$J$2:$J$101,MATCH($A156,'Préstamos'!$A$2:$A$101,0)))))</f>
        <v/>
      </c>
      <c r="G156" s="29">
        <f>IF($A156="","",IF(AND(D156&lt;&gt;"Solo interés",C156=INDEX('Préstamos'!$G$2:$G$101,MATCH($A156,'Préstamos'!$A$2:$A$101,0))),INDEX('Préstamos'!$I$2:$I$101,MATCH($A156,'Préstamos'!$A$2:$A$101,0))-INDEX('Préstamos'!$K$2:$K$101,MATCH($A156,'Préstamos'!$A$2:$A$101,0))*(INDEX('Préstamos'!$G$2:$G$101,MATCH($A156,'Préstamos'!$A$2:$A$101,0))-1),INDEX('Préstamos'!$K$2:$K$101,MATCH($A156,'Préstamos'!$A$2:$A$101,0))))</f>
        <v/>
      </c>
      <c r="H156" s="29">
        <f>IF($A156="","",F156+G156)</f>
        <v/>
      </c>
      <c r="I156" s="14" t="n"/>
      <c r="J156" s="33" t="n"/>
      <c r="K156" s="16">
        <f>IF(OR($A156="",I156="Pagado"),"",MAX(0,TODAY()-E156))</f>
        <v/>
      </c>
      <c r="L156" s="16">
        <f>IF($A156="","",IF(I156="Pagado","Pagado",IF(E156&lt;TODAY(),"Atrasado",IF(E156&lt;=EOMONTH(TODAY(),0),"Este mes","Pendiente"))))</f>
        <v/>
      </c>
      <c r="M156" s="20">
        <f>IF(OR($A156="",I156="Pagado"),"",HYPERLINK("https://wa.me/"&amp;IF(INDEX('Préstamos'!$C$2:$C$101,MATCH($A156,'Préstamos'!$A$2:$A$101,0))="","","51"&amp;SUBSTITUTE(INDEX('Préstamos'!$C$2:$C$101,MATCH($A156,'Préstamos'!$A$2:$A$101,0))," ",""))&amp;"?text="&amp;SUBSTITUTE("Hola "&amp;B156&amp;", te recuerdo que tu cuota de S/ "&amp;H156&amp;IF(E156&lt;TODAY()," vencio el "," vence el ")&amp;TEXT(E156,"dd/mm")&amp;". Gracias!"," ","%20"),"WhatsApp"))</f>
        <v/>
      </c>
    </row>
    <row r="157">
      <c r="A157" s="14" t="n"/>
      <c r="B157" s="16">
        <f>IF($A157="","",INDEX('Préstamos'!$B$2:$B$101,MATCH($A157,'Préstamos'!$A$2:$A$101,0)))</f>
        <v/>
      </c>
      <c r="C157" s="14" t="n"/>
      <c r="D157" s="14" t="n"/>
      <c r="E157" s="33" t="n"/>
      <c r="F157" s="29">
        <f>IF($A157="","",IF(D157="Solo interés",0,IF(AND(D157&lt;&gt;"Solo interés",C157=INDEX('Préstamos'!$G$2:$G$101,MATCH($A157,'Préstamos'!$A$2:$A$101,0))),INDEX('Préstamos'!$D$2:$D$101,MATCH($A157,'Préstamos'!$A$2:$A$101,0))-INDEX('Préstamos'!$J$2:$J$101,MATCH($A157,'Préstamos'!$A$2:$A$101,0))*(INDEX('Préstamos'!$G$2:$G$101,MATCH($A157,'Préstamos'!$A$2:$A$101,0))-1),INDEX('Préstamos'!$J$2:$J$101,MATCH($A157,'Préstamos'!$A$2:$A$101,0)))))</f>
        <v/>
      </c>
      <c r="G157" s="29">
        <f>IF($A157="","",IF(AND(D157&lt;&gt;"Solo interés",C157=INDEX('Préstamos'!$G$2:$G$101,MATCH($A157,'Préstamos'!$A$2:$A$101,0))),INDEX('Préstamos'!$I$2:$I$101,MATCH($A157,'Préstamos'!$A$2:$A$101,0))-INDEX('Préstamos'!$K$2:$K$101,MATCH($A157,'Préstamos'!$A$2:$A$101,0))*(INDEX('Préstamos'!$G$2:$G$101,MATCH($A157,'Préstamos'!$A$2:$A$101,0))-1),INDEX('Préstamos'!$K$2:$K$101,MATCH($A157,'Préstamos'!$A$2:$A$101,0))))</f>
        <v/>
      </c>
      <c r="H157" s="29">
        <f>IF($A157="","",F157+G157)</f>
        <v/>
      </c>
      <c r="I157" s="14" t="n"/>
      <c r="J157" s="33" t="n"/>
      <c r="K157" s="16">
        <f>IF(OR($A157="",I157="Pagado"),"",MAX(0,TODAY()-E157))</f>
        <v/>
      </c>
      <c r="L157" s="16">
        <f>IF($A157="","",IF(I157="Pagado","Pagado",IF(E157&lt;TODAY(),"Atrasado",IF(E157&lt;=EOMONTH(TODAY(),0),"Este mes","Pendiente"))))</f>
        <v/>
      </c>
      <c r="M157" s="20">
        <f>IF(OR($A157="",I157="Pagado"),"",HYPERLINK("https://wa.me/"&amp;IF(INDEX('Préstamos'!$C$2:$C$101,MATCH($A157,'Préstamos'!$A$2:$A$101,0))="","","51"&amp;SUBSTITUTE(INDEX('Préstamos'!$C$2:$C$101,MATCH($A157,'Préstamos'!$A$2:$A$101,0))," ",""))&amp;"?text="&amp;SUBSTITUTE("Hola "&amp;B157&amp;", te recuerdo que tu cuota de S/ "&amp;H157&amp;IF(E157&lt;TODAY()," vencio el "," vence el ")&amp;TEXT(E157,"dd/mm")&amp;". Gracias!"," ","%20"),"WhatsApp"))</f>
        <v/>
      </c>
    </row>
    <row r="158">
      <c r="A158" s="14" t="n"/>
      <c r="B158" s="16">
        <f>IF($A158="","",INDEX('Préstamos'!$B$2:$B$101,MATCH($A158,'Préstamos'!$A$2:$A$101,0)))</f>
        <v/>
      </c>
      <c r="C158" s="14" t="n"/>
      <c r="D158" s="14" t="n"/>
      <c r="E158" s="33" t="n"/>
      <c r="F158" s="29">
        <f>IF($A158="","",IF(D158="Solo interés",0,IF(AND(D158&lt;&gt;"Solo interés",C158=INDEX('Préstamos'!$G$2:$G$101,MATCH($A158,'Préstamos'!$A$2:$A$101,0))),INDEX('Préstamos'!$D$2:$D$101,MATCH($A158,'Préstamos'!$A$2:$A$101,0))-INDEX('Préstamos'!$J$2:$J$101,MATCH($A158,'Préstamos'!$A$2:$A$101,0))*(INDEX('Préstamos'!$G$2:$G$101,MATCH($A158,'Préstamos'!$A$2:$A$101,0))-1),INDEX('Préstamos'!$J$2:$J$101,MATCH($A158,'Préstamos'!$A$2:$A$101,0)))))</f>
        <v/>
      </c>
      <c r="G158" s="29">
        <f>IF($A158="","",IF(AND(D158&lt;&gt;"Solo interés",C158=INDEX('Préstamos'!$G$2:$G$101,MATCH($A158,'Préstamos'!$A$2:$A$101,0))),INDEX('Préstamos'!$I$2:$I$101,MATCH($A158,'Préstamos'!$A$2:$A$101,0))-INDEX('Préstamos'!$K$2:$K$101,MATCH($A158,'Préstamos'!$A$2:$A$101,0))*(INDEX('Préstamos'!$G$2:$G$101,MATCH($A158,'Préstamos'!$A$2:$A$101,0))-1),INDEX('Préstamos'!$K$2:$K$101,MATCH($A158,'Préstamos'!$A$2:$A$101,0))))</f>
        <v/>
      </c>
      <c r="H158" s="29">
        <f>IF($A158="","",F158+G158)</f>
        <v/>
      </c>
      <c r="I158" s="14" t="n"/>
      <c r="J158" s="33" t="n"/>
      <c r="K158" s="16">
        <f>IF(OR($A158="",I158="Pagado"),"",MAX(0,TODAY()-E158))</f>
        <v/>
      </c>
      <c r="L158" s="16">
        <f>IF($A158="","",IF(I158="Pagado","Pagado",IF(E158&lt;TODAY(),"Atrasado",IF(E158&lt;=EOMONTH(TODAY(),0),"Este mes","Pendiente"))))</f>
        <v/>
      </c>
      <c r="M158" s="20">
        <f>IF(OR($A158="",I158="Pagado"),"",HYPERLINK("https://wa.me/"&amp;IF(INDEX('Préstamos'!$C$2:$C$101,MATCH($A158,'Préstamos'!$A$2:$A$101,0))="","","51"&amp;SUBSTITUTE(INDEX('Préstamos'!$C$2:$C$101,MATCH($A158,'Préstamos'!$A$2:$A$101,0))," ",""))&amp;"?text="&amp;SUBSTITUTE("Hola "&amp;B158&amp;", te recuerdo que tu cuota de S/ "&amp;H158&amp;IF(E158&lt;TODAY()," vencio el "," vence el ")&amp;TEXT(E158,"dd/mm")&amp;". Gracias!"," ","%20"),"WhatsApp"))</f>
        <v/>
      </c>
    </row>
    <row r="159">
      <c r="A159" s="14" t="n"/>
      <c r="B159" s="16">
        <f>IF($A159="","",INDEX('Préstamos'!$B$2:$B$101,MATCH($A159,'Préstamos'!$A$2:$A$101,0)))</f>
        <v/>
      </c>
      <c r="C159" s="14" t="n"/>
      <c r="D159" s="14" t="n"/>
      <c r="E159" s="33" t="n"/>
      <c r="F159" s="29">
        <f>IF($A159="","",IF(D159="Solo interés",0,IF(AND(D159&lt;&gt;"Solo interés",C159=INDEX('Préstamos'!$G$2:$G$101,MATCH($A159,'Préstamos'!$A$2:$A$101,0))),INDEX('Préstamos'!$D$2:$D$101,MATCH($A159,'Préstamos'!$A$2:$A$101,0))-INDEX('Préstamos'!$J$2:$J$101,MATCH($A159,'Préstamos'!$A$2:$A$101,0))*(INDEX('Préstamos'!$G$2:$G$101,MATCH($A159,'Préstamos'!$A$2:$A$101,0))-1),INDEX('Préstamos'!$J$2:$J$101,MATCH($A159,'Préstamos'!$A$2:$A$101,0)))))</f>
        <v/>
      </c>
      <c r="G159" s="29">
        <f>IF($A159="","",IF(AND(D159&lt;&gt;"Solo interés",C159=INDEX('Préstamos'!$G$2:$G$101,MATCH($A159,'Préstamos'!$A$2:$A$101,0))),INDEX('Préstamos'!$I$2:$I$101,MATCH($A159,'Préstamos'!$A$2:$A$101,0))-INDEX('Préstamos'!$K$2:$K$101,MATCH($A159,'Préstamos'!$A$2:$A$101,0))*(INDEX('Préstamos'!$G$2:$G$101,MATCH($A159,'Préstamos'!$A$2:$A$101,0))-1),INDEX('Préstamos'!$K$2:$K$101,MATCH($A159,'Préstamos'!$A$2:$A$101,0))))</f>
        <v/>
      </c>
      <c r="H159" s="29">
        <f>IF($A159="","",F159+G159)</f>
        <v/>
      </c>
      <c r="I159" s="14" t="n"/>
      <c r="J159" s="33" t="n"/>
      <c r="K159" s="16">
        <f>IF(OR($A159="",I159="Pagado"),"",MAX(0,TODAY()-E159))</f>
        <v/>
      </c>
      <c r="L159" s="16">
        <f>IF($A159="","",IF(I159="Pagado","Pagado",IF(E159&lt;TODAY(),"Atrasado",IF(E159&lt;=EOMONTH(TODAY(),0),"Este mes","Pendiente"))))</f>
        <v/>
      </c>
      <c r="M159" s="20">
        <f>IF(OR($A159="",I159="Pagado"),"",HYPERLINK("https://wa.me/"&amp;IF(INDEX('Préstamos'!$C$2:$C$101,MATCH($A159,'Préstamos'!$A$2:$A$101,0))="","","51"&amp;SUBSTITUTE(INDEX('Préstamos'!$C$2:$C$101,MATCH($A159,'Préstamos'!$A$2:$A$101,0))," ",""))&amp;"?text="&amp;SUBSTITUTE("Hola "&amp;B159&amp;", te recuerdo que tu cuota de S/ "&amp;H159&amp;IF(E159&lt;TODAY()," vencio el "," vence el ")&amp;TEXT(E159,"dd/mm")&amp;". Gracias!"," ","%20"),"WhatsApp"))</f>
        <v/>
      </c>
    </row>
    <row r="160">
      <c r="A160" s="14" t="n"/>
      <c r="B160" s="16">
        <f>IF($A160="","",INDEX('Préstamos'!$B$2:$B$101,MATCH($A160,'Préstamos'!$A$2:$A$101,0)))</f>
        <v/>
      </c>
      <c r="C160" s="14" t="n"/>
      <c r="D160" s="14" t="n"/>
      <c r="E160" s="33" t="n"/>
      <c r="F160" s="29">
        <f>IF($A160="","",IF(D160="Solo interés",0,IF(AND(D160&lt;&gt;"Solo interés",C160=INDEX('Préstamos'!$G$2:$G$101,MATCH($A160,'Préstamos'!$A$2:$A$101,0))),INDEX('Préstamos'!$D$2:$D$101,MATCH($A160,'Préstamos'!$A$2:$A$101,0))-INDEX('Préstamos'!$J$2:$J$101,MATCH($A160,'Préstamos'!$A$2:$A$101,0))*(INDEX('Préstamos'!$G$2:$G$101,MATCH($A160,'Préstamos'!$A$2:$A$101,0))-1),INDEX('Préstamos'!$J$2:$J$101,MATCH($A160,'Préstamos'!$A$2:$A$101,0)))))</f>
        <v/>
      </c>
      <c r="G160" s="29">
        <f>IF($A160="","",IF(AND(D160&lt;&gt;"Solo interés",C160=INDEX('Préstamos'!$G$2:$G$101,MATCH($A160,'Préstamos'!$A$2:$A$101,0))),INDEX('Préstamos'!$I$2:$I$101,MATCH($A160,'Préstamos'!$A$2:$A$101,0))-INDEX('Préstamos'!$K$2:$K$101,MATCH($A160,'Préstamos'!$A$2:$A$101,0))*(INDEX('Préstamos'!$G$2:$G$101,MATCH($A160,'Préstamos'!$A$2:$A$101,0))-1),INDEX('Préstamos'!$K$2:$K$101,MATCH($A160,'Préstamos'!$A$2:$A$101,0))))</f>
        <v/>
      </c>
      <c r="H160" s="29">
        <f>IF($A160="","",F160+G160)</f>
        <v/>
      </c>
      <c r="I160" s="14" t="n"/>
      <c r="J160" s="33" t="n"/>
      <c r="K160" s="16">
        <f>IF(OR($A160="",I160="Pagado"),"",MAX(0,TODAY()-E160))</f>
        <v/>
      </c>
      <c r="L160" s="16">
        <f>IF($A160="","",IF(I160="Pagado","Pagado",IF(E160&lt;TODAY(),"Atrasado",IF(E160&lt;=EOMONTH(TODAY(),0),"Este mes","Pendiente"))))</f>
        <v/>
      </c>
      <c r="M160" s="20">
        <f>IF(OR($A160="",I160="Pagado"),"",HYPERLINK("https://wa.me/"&amp;IF(INDEX('Préstamos'!$C$2:$C$101,MATCH($A160,'Préstamos'!$A$2:$A$101,0))="","","51"&amp;SUBSTITUTE(INDEX('Préstamos'!$C$2:$C$101,MATCH($A160,'Préstamos'!$A$2:$A$101,0))," ",""))&amp;"?text="&amp;SUBSTITUTE("Hola "&amp;B160&amp;", te recuerdo que tu cuota de S/ "&amp;H160&amp;IF(E160&lt;TODAY()," vencio el "," vence el ")&amp;TEXT(E160,"dd/mm")&amp;". Gracias!"," ","%20"),"WhatsApp"))</f>
        <v/>
      </c>
    </row>
    <row r="161">
      <c r="A161" s="14" t="n"/>
      <c r="B161" s="16">
        <f>IF($A161="","",INDEX('Préstamos'!$B$2:$B$101,MATCH($A161,'Préstamos'!$A$2:$A$101,0)))</f>
        <v/>
      </c>
      <c r="C161" s="14" t="n"/>
      <c r="D161" s="14" t="n"/>
      <c r="E161" s="33" t="n"/>
      <c r="F161" s="29">
        <f>IF($A161="","",IF(D161="Solo interés",0,IF(AND(D161&lt;&gt;"Solo interés",C161=INDEX('Préstamos'!$G$2:$G$101,MATCH($A161,'Préstamos'!$A$2:$A$101,0))),INDEX('Préstamos'!$D$2:$D$101,MATCH($A161,'Préstamos'!$A$2:$A$101,0))-INDEX('Préstamos'!$J$2:$J$101,MATCH($A161,'Préstamos'!$A$2:$A$101,0))*(INDEX('Préstamos'!$G$2:$G$101,MATCH($A161,'Préstamos'!$A$2:$A$101,0))-1),INDEX('Préstamos'!$J$2:$J$101,MATCH($A161,'Préstamos'!$A$2:$A$101,0)))))</f>
        <v/>
      </c>
      <c r="G161" s="29">
        <f>IF($A161="","",IF(AND(D161&lt;&gt;"Solo interés",C161=INDEX('Préstamos'!$G$2:$G$101,MATCH($A161,'Préstamos'!$A$2:$A$101,0))),INDEX('Préstamos'!$I$2:$I$101,MATCH($A161,'Préstamos'!$A$2:$A$101,0))-INDEX('Préstamos'!$K$2:$K$101,MATCH($A161,'Préstamos'!$A$2:$A$101,0))*(INDEX('Préstamos'!$G$2:$G$101,MATCH($A161,'Préstamos'!$A$2:$A$101,0))-1),INDEX('Préstamos'!$K$2:$K$101,MATCH($A161,'Préstamos'!$A$2:$A$101,0))))</f>
        <v/>
      </c>
      <c r="H161" s="29">
        <f>IF($A161="","",F161+G161)</f>
        <v/>
      </c>
      <c r="I161" s="14" t="n"/>
      <c r="J161" s="33" t="n"/>
      <c r="K161" s="16">
        <f>IF(OR($A161="",I161="Pagado"),"",MAX(0,TODAY()-E161))</f>
        <v/>
      </c>
      <c r="L161" s="16">
        <f>IF($A161="","",IF(I161="Pagado","Pagado",IF(E161&lt;TODAY(),"Atrasado",IF(E161&lt;=EOMONTH(TODAY(),0),"Este mes","Pendiente"))))</f>
        <v/>
      </c>
      <c r="M161" s="20">
        <f>IF(OR($A161="",I161="Pagado"),"",HYPERLINK("https://wa.me/"&amp;IF(INDEX('Préstamos'!$C$2:$C$101,MATCH($A161,'Préstamos'!$A$2:$A$101,0))="","","51"&amp;SUBSTITUTE(INDEX('Préstamos'!$C$2:$C$101,MATCH($A161,'Préstamos'!$A$2:$A$101,0))," ",""))&amp;"?text="&amp;SUBSTITUTE("Hola "&amp;B161&amp;", te recuerdo que tu cuota de S/ "&amp;H161&amp;IF(E161&lt;TODAY()," vencio el "," vence el ")&amp;TEXT(E161,"dd/mm")&amp;". Gracias!"," ","%20"),"WhatsApp"))</f>
        <v/>
      </c>
    </row>
    <row r="162">
      <c r="A162" s="14" t="n"/>
      <c r="B162" s="16">
        <f>IF($A162="","",INDEX('Préstamos'!$B$2:$B$101,MATCH($A162,'Préstamos'!$A$2:$A$101,0)))</f>
        <v/>
      </c>
      <c r="C162" s="14" t="n"/>
      <c r="D162" s="14" t="n"/>
      <c r="E162" s="33" t="n"/>
      <c r="F162" s="29">
        <f>IF($A162="","",IF(D162="Solo interés",0,IF(AND(D162&lt;&gt;"Solo interés",C162=INDEX('Préstamos'!$G$2:$G$101,MATCH($A162,'Préstamos'!$A$2:$A$101,0))),INDEX('Préstamos'!$D$2:$D$101,MATCH($A162,'Préstamos'!$A$2:$A$101,0))-INDEX('Préstamos'!$J$2:$J$101,MATCH($A162,'Préstamos'!$A$2:$A$101,0))*(INDEX('Préstamos'!$G$2:$G$101,MATCH($A162,'Préstamos'!$A$2:$A$101,0))-1),INDEX('Préstamos'!$J$2:$J$101,MATCH($A162,'Préstamos'!$A$2:$A$101,0)))))</f>
        <v/>
      </c>
      <c r="G162" s="29">
        <f>IF($A162="","",IF(AND(D162&lt;&gt;"Solo interés",C162=INDEX('Préstamos'!$G$2:$G$101,MATCH($A162,'Préstamos'!$A$2:$A$101,0))),INDEX('Préstamos'!$I$2:$I$101,MATCH($A162,'Préstamos'!$A$2:$A$101,0))-INDEX('Préstamos'!$K$2:$K$101,MATCH($A162,'Préstamos'!$A$2:$A$101,0))*(INDEX('Préstamos'!$G$2:$G$101,MATCH($A162,'Préstamos'!$A$2:$A$101,0))-1),INDEX('Préstamos'!$K$2:$K$101,MATCH($A162,'Préstamos'!$A$2:$A$101,0))))</f>
        <v/>
      </c>
      <c r="H162" s="29">
        <f>IF($A162="","",F162+G162)</f>
        <v/>
      </c>
      <c r="I162" s="14" t="n"/>
      <c r="J162" s="33" t="n"/>
      <c r="K162" s="16">
        <f>IF(OR($A162="",I162="Pagado"),"",MAX(0,TODAY()-E162))</f>
        <v/>
      </c>
      <c r="L162" s="16">
        <f>IF($A162="","",IF(I162="Pagado","Pagado",IF(E162&lt;TODAY(),"Atrasado",IF(E162&lt;=EOMONTH(TODAY(),0),"Este mes","Pendiente"))))</f>
        <v/>
      </c>
      <c r="M162" s="20">
        <f>IF(OR($A162="",I162="Pagado"),"",HYPERLINK("https://wa.me/"&amp;IF(INDEX('Préstamos'!$C$2:$C$101,MATCH($A162,'Préstamos'!$A$2:$A$101,0))="","","51"&amp;SUBSTITUTE(INDEX('Préstamos'!$C$2:$C$101,MATCH($A162,'Préstamos'!$A$2:$A$101,0))," ",""))&amp;"?text="&amp;SUBSTITUTE("Hola "&amp;B162&amp;", te recuerdo que tu cuota de S/ "&amp;H162&amp;IF(E162&lt;TODAY()," vencio el "," vence el ")&amp;TEXT(E162,"dd/mm")&amp;". Gracias!"," ","%20"),"WhatsApp"))</f>
        <v/>
      </c>
    </row>
    <row r="163">
      <c r="A163" s="14" t="n"/>
      <c r="B163" s="16">
        <f>IF($A163="","",INDEX('Préstamos'!$B$2:$B$101,MATCH($A163,'Préstamos'!$A$2:$A$101,0)))</f>
        <v/>
      </c>
      <c r="C163" s="14" t="n"/>
      <c r="D163" s="14" t="n"/>
      <c r="E163" s="33" t="n"/>
      <c r="F163" s="29">
        <f>IF($A163="","",IF(D163="Solo interés",0,IF(AND(D163&lt;&gt;"Solo interés",C163=INDEX('Préstamos'!$G$2:$G$101,MATCH($A163,'Préstamos'!$A$2:$A$101,0))),INDEX('Préstamos'!$D$2:$D$101,MATCH($A163,'Préstamos'!$A$2:$A$101,0))-INDEX('Préstamos'!$J$2:$J$101,MATCH($A163,'Préstamos'!$A$2:$A$101,0))*(INDEX('Préstamos'!$G$2:$G$101,MATCH($A163,'Préstamos'!$A$2:$A$101,0))-1),INDEX('Préstamos'!$J$2:$J$101,MATCH($A163,'Préstamos'!$A$2:$A$101,0)))))</f>
        <v/>
      </c>
      <c r="G163" s="29">
        <f>IF($A163="","",IF(AND(D163&lt;&gt;"Solo interés",C163=INDEX('Préstamos'!$G$2:$G$101,MATCH($A163,'Préstamos'!$A$2:$A$101,0))),INDEX('Préstamos'!$I$2:$I$101,MATCH($A163,'Préstamos'!$A$2:$A$101,0))-INDEX('Préstamos'!$K$2:$K$101,MATCH($A163,'Préstamos'!$A$2:$A$101,0))*(INDEX('Préstamos'!$G$2:$G$101,MATCH($A163,'Préstamos'!$A$2:$A$101,0))-1),INDEX('Préstamos'!$K$2:$K$101,MATCH($A163,'Préstamos'!$A$2:$A$101,0))))</f>
        <v/>
      </c>
      <c r="H163" s="29">
        <f>IF($A163="","",F163+G163)</f>
        <v/>
      </c>
      <c r="I163" s="14" t="n"/>
      <c r="J163" s="33" t="n"/>
      <c r="K163" s="16">
        <f>IF(OR($A163="",I163="Pagado"),"",MAX(0,TODAY()-E163))</f>
        <v/>
      </c>
      <c r="L163" s="16">
        <f>IF($A163="","",IF(I163="Pagado","Pagado",IF(E163&lt;TODAY(),"Atrasado",IF(E163&lt;=EOMONTH(TODAY(),0),"Este mes","Pendiente"))))</f>
        <v/>
      </c>
      <c r="M163" s="20">
        <f>IF(OR($A163="",I163="Pagado"),"",HYPERLINK("https://wa.me/"&amp;IF(INDEX('Préstamos'!$C$2:$C$101,MATCH($A163,'Préstamos'!$A$2:$A$101,0))="","","51"&amp;SUBSTITUTE(INDEX('Préstamos'!$C$2:$C$101,MATCH($A163,'Préstamos'!$A$2:$A$101,0))," ",""))&amp;"?text="&amp;SUBSTITUTE("Hola "&amp;B163&amp;", te recuerdo que tu cuota de S/ "&amp;H163&amp;IF(E163&lt;TODAY()," vencio el "," vence el ")&amp;TEXT(E163,"dd/mm")&amp;". Gracias!"," ","%20"),"WhatsApp"))</f>
        <v/>
      </c>
    </row>
    <row r="164">
      <c r="A164" s="14" t="n"/>
      <c r="B164" s="16">
        <f>IF($A164="","",INDEX('Préstamos'!$B$2:$B$101,MATCH($A164,'Préstamos'!$A$2:$A$101,0)))</f>
        <v/>
      </c>
      <c r="C164" s="14" t="n"/>
      <c r="D164" s="14" t="n"/>
      <c r="E164" s="33" t="n"/>
      <c r="F164" s="29">
        <f>IF($A164="","",IF(D164="Solo interés",0,IF(AND(D164&lt;&gt;"Solo interés",C164=INDEX('Préstamos'!$G$2:$G$101,MATCH($A164,'Préstamos'!$A$2:$A$101,0))),INDEX('Préstamos'!$D$2:$D$101,MATCH($A164,'Préstamos'!$A$2:$A$101,0))-INDEX('Préstamos'!$J$2:$J$101,MATCH($A164,'Préstamos'!$A$2:$A$101,0))*(INDEX('Préstamos'!$G$2:$G$101,MATCH($A164,'Préstamos'!$A$2:$A$101,0))-1),INDEX('Préstamos'!$J$2:$J$101,MATCH($A164,'Préstamos'!$A$2:$A$101,0)))))</f>
        <v/>
      </c>
      <c r="G164" s="29">
        <f>IF($A164="","",IF(AND(D164&lt;&gt;"Solo interés",C164=INDEX('Préstamos'!$G$2:$G$101,MATCH($A164,'Préstamos'!$A$2:$A$101,0))),INDEX('Préstamos'!$I$2:$I$101,MATCH($A164,'Préstamos'!$A$2:$A$101,0))-INDEX('Préstamos'!$K$2:$K$101,MATCH($A164,'Préstamos'!$A$2:$A$101,0))*(INDEX('Préstamos'!$G$2:$G$101,MATCH($A164,'Préstamos'!$A$2:$A$101,0))-1),INDEX('Préstamos'!$K$2:$K$101,MATCH($A164,'Préstamos'!$A$2:$A$101,0))))</f>
        <v/>
      </c>
      <c r="H164" s="29">
        <f>IF($A164="","",F164+G164)</f>
        <v/>
      </c>
      <c r="I164" s="14" t="n"/>
      <c r="J164" s="33" t="n"/>
      <c r="K164" s="16">
        <f>IF(OR($A164="",I164="Pagado"),"",MAX(0,TODAY()-E164))</f>
        <v/>
      </c>
      <c r="L164" s="16">
        <f>IF($A164="","",IF(I164="Pagado","Pagado",IF(E164&lt;TODAY(),"Atrasado",IF(E164&lt;=EOMONTH(TODAY(),0),"Este mes","Pendiente"))))</f>
        <v/>
      </c>
      <c r="M164" s="20">
        <f>IF(OR($A164="",I164="Pagado"),"",HYPERLINK("https://wa.me/"&amp;IF(INDEX('Préstamos'!$C$2:$C$101,MATCH($A164,'Préstamos'!$A$2:$A$101,0))="","","51"&amp;SUBSTITUTE(INDEX('Préstamos'!$C$2:$C$101,MATCH($A164,'Préstamos'!$A$2:$A$101,0))," ",""))&amp;"?text="&amp;SUBSTITUTE("Hola "&amp;B164&amp;", te recuerdo que tu cuota de S/ "&amp;H164&amp;IF(E164&lt;TODAY()," vencio el "," vence el ")&amp;TEXT(E164,"dd/mm")&amp;". Gracias!"," ","%20"),"WhatsApp"))</f>
        <v/>
      </c>
    </row>
    <row r="165">
      <c r="A165" s="14" t="n"/>
      <c r="B165" s="16">
        <f>IF($A165="","",INDEX('Préstamos'!$B$2:$B$101,MATCH($A165,'Préstamos'!$A$2:$A$101,0)))</f>
        <v/>
      </c>
      <c r="C165" s="14" t="n"/>
      <c r="D165" s="14" t="n"/>
      <c r="E165" s="33" t="n"/>
      <c r="F165" s="29">
        <f>IF($A165="","",IF(D165="Solo interés",0,IF(AND(D165&lt;&gt;"Solo interés",C165=INDEX('Préstamos'!$G$2:$G$101,MATCH($A165,'Préstamos'!$A$2:$A$101,0))),INDEX('Préstamos'!$D$2:$D$101,MATCH($A165,'Préstamos'!$A$2:$A$101,0))-INDEX('Préstamos'!$J$2:$J$101,MATCH($A165,'Préstamos'!$A$2:$A$101,0))*(INDEX('Préstamos'!$G$2:$G$101,MATCH($A165,'Préstamos'!$A$2:$A$101,0))-1),INDEX('Préstamos'!$J$2:$J$101,MATCH($A165,'Préstamos'!$A$2:$A$101,0)))))</f>
        <v/>
      </c>
      <c r="G165" s="29">
        <f>IF($A165="","",IF(AND(D165&lt;&gt;"Solo interés",C165=INDEX('Préstamos'!$G$2:$G$101,MATCH($A165,'Préstamos'!$A$2:$A$101,0))),INDEX('Préstamos'!$I$2:$I$101,MATCH($A165,'Préstamos'!$A$2:$A$101,0))-INDEX('Préstamos'!$K$2:$K$101,MATCH($A165,'Préstamos'!$A$2:$A$101,0))*(INDEX('Préstamos'!$G$2:$G$101,MATCH($A165,'Préstamos'!$A$2:$A$101,0))-1),INDEX('Préstamos'!$K$2:$K$101,MATCH($A165,'Préstamos'!$A$2:$A$101,0))))</f>
        <v/>
      </c>
      <c r="H165" s="29">
        <f>IF($A165="","",F165+G165)</f>
        <v/>
      </c>
      <c r="I165" s="14" t="n"/>
      <c r="J165" s="33" t="n"/>
      <c r="K165" s="16">
        <f>IF(OR($A165="",I165="Pagado"),"",MAX(0,TODAY()-E165))</f>
        <v/>
      </c>
      <c r="L165" s="16">
        <f>IF($A165="","",IF(I165="Pagado","Pagado",IF(E165&lt;TODAY(),"Atrasado",IF(E165&lt;=EOMONTH(TODAY(),0),"Este mes","Pendiente"))))</f>
        <v/>
      </c>
      <c r="M165" s="20">
        <f>IF(OR($A165="",I165="Pagado"),"",HYPERLINK("https://wa.me/"&amp;IF(INDEX('Préstamos'!$C$2:$C$101,MATCH($A165,'Préstamos'!$A$2:$A$101,0))="","","51"&amp;SUBSTITUTE(INDEX('Préstamos'!$C$2:$C$101,MATCH($A165,'Préstamos'!$A$2:$A$101,0))," ",""))&amp;"?text="&amp;SUBSTITUTE("Hola "&amp;B165&amp;", te recuerdo que tu cuota de S/ "&amp;H165&amp;IF(E165&lt;TODAY()," vencio el "," vence el ")&amp;TEXT(E165,"dd/mm")&amp;". Gracias!"," ","%20"),"WhatsApp"))</f>
        <v/>
      </c>
    </row>
    <row r="166">
      <c r="A166" s="14" t="n"/>
      <c r="B166" s="16">
        <f>IF($A166="","",INDEX('Préstamos'!$B$2:$B$101,MATCH($A166,'Préstamos'!$A$2:$A$101,0)))</f>
        <v/>
      </c>
      <c r="C166" s="14" t="n"/>
      <c r="D166" s="14" t="n"/>
      <c r="E166" s="33" t="n"/>
      <c r="F166" s="29">
        <f>IF($A166="","",IF(D166="Solo interés",0,IF(AND(D166&lt;&gt;"Solo interés",C166=INDEX('Préstamos'!$G$2:$G$101,MATCH($A166,'Préstamos'!$A$2:$A$101,0))),INDEX('Préstamos'!$D$2:$D$101,MATCH($A166,'Préstamos'!$A$2:$A$101,0))-INDEX('Préstamos'!$J$2:$J$101,MATCH($A166,'Préstamos'!$A$2:$A$101,0))*(INDEX('Préstamos'!$G$2:$G$101,MATCH($A166,'Préstamos'!$A$2:$A$101,0))-1),INDEX('Préstamos'!$J$2:$J$101,MATCH($A166,'Préstamos'!$A$2:$A$101,0)))))</f>
        <v/>
      </c>
      <c r="G166" s="29">
        <f>IF($A166="","",IF(AND(D166&lt;&gt;"Solo interés",C166=INDEX('Préstamos'!$G$2:$G$101,MATCH($A166,'Préstamos'!$A$2:$A$101,0))),INDEX('Préstamos'!$I$2:$I$101,MATCH($A166,'Préstamos'!$A$2:$A$101,0))-INDEX('Préstamos'!$K$2:$K$101,MATCH($A166,'Préstamos'!$A$2:$A$101,0))*(INDEX('Préstamos'!$G$2:$G$101,MATCH($A166,'Préstamos'!$A$2:$A$101,0))-1),INDEX('Préstamos'!$K$2:$K$101,MATCH($A166,'Préstamos'!$A$2:$A$101,0))))</f>
        <v/>
      </c>
      <c r="H166" s="29">
        <f>IF($A166="","",F166+G166)</f>
        <v/>
      </c>
      <c r="I166" s="14" t="n"/>
      <c r="J166" s="33" t="n"/>
      <c r="K166" s="16">
        <f>IF(OR($A166="",I166="Pagado"),"",MAX(0,TODAY()-E166))</f>
        <v/>
      </c>
      <c r="L166" s="16">
        <f>IF($A166="","",IF(I166="Pagado","Pagado",IF(E166&lt;TODAY(),"Atrasado",IF(E166&lt;=EOMONTH(TODAY(),0),"Este mes","Pendiente"))))</f>
        <v/>
      </c>
      <c r="M166" s="20">
        <f>IF(OR($A166="",I166="Pagado"),"",HYPERLINK("https://wa.me/"&amp;IF(INDEX('Préstamos'!$C$2:$C$101,MATCH($A166,'Préstamos'!$A$2:$A$101,0))="","","51"&amp;SUBSTITUTE(INDEX('Préstamos'!$C$2:$C$101,MATCH($A166,'Préstamos'!$A$2:$A$101,0))," ",""))&amp;"?text="&amp;SUBSTITUTE("Hola "&amp;B166&amp;", te recuerdo que tu cuota de S/ "&amp;H166&amp;IF(E166&lt;TODAY()," vencio el "," vence el ")&amp;TEXT(E166,"dd/mm")&amp;". Gracias!"," ","%20"),"WhatsApp"))</f>
        <v/>
      </c>
    </row>
    <row r="167">
      <c r="A167" s="14" t="n"/>
      <c r="B167" s="16">
        <f>IF($A167="","",INDEX('Préstamos'!$B$2:$B$101,MATCH($A167,'Préstamos'!$A$2:$A$101,0)))</f>
        <v/>
      </c>
      <c r="C167" s="14" t="n"/>
      <c r="D167" s="14" t="n"/>
      <c r="E167" s="33" t="n"/>
      <c r="F167" s="29">
        <f>IF($A167="","",IF(D167="Solo interés",0,IF(AND(D167&lt;&gt;"Solo interés",C167=INDEX('Préstamos'!$G$2:$G$101,MATCH($A167,'Préstamos'!$A$2:$A$101,0))),INDEX('Préstamos'!$D$2:$D$101,MATCH($A167,'Préstamos'!$A$2:$A$101,0))-INDEX('Préstamos'!$J$2:$J$101,MATCH($A167,'Préstamos'!$A$2:$A$101,0))*(INDEX('Préstamos'!$G$2:$G$101,MATCH($A167,'Préstamos'!$A$2:$A$101,0))-1),INDEX('Préstamos'!$J$2:$J$101,MATCH($A167,'Préstamos'!$A$2:$A$101,0)))))</f>
        <v/>
      </c>
      <c r="G167" s="29">
        <f>IF($A167="","",IF(AND(D167&lt;&gt;"Solo interés",C167=INDEX('Préstamos'!$G$2:$G$101,MATCH($A167,'Préstamos'!$A$2:$A$101,0))),INDEX('Préstamos'!$I$2:$I$101,MATCH($A167,'Préstamos'!$A$2:$A$101,0))-INDEX('Préstamos'!$K$2:$K$101,MATCH($A167,'Préstamos'!$A$2:$A$101,0))*(INDEX('Préstamos'!$G$2:$G$101,MATCH($A167,'Préstamos'!$A$2:$A$101,0))-1),INDEX('Préstamos'!$K$2:$K$101,MATCH($A167,'Préstamos'!$A$2:$A$101,0))))</f>
        <v/>
      </c>
      <c r="H167" s="29">
        <f>IF($A167="","",F167+G167)</f>
        <v/>
      </c>
      <c r="I167" s="14" t="n"/>
      <c r="J167" s="33" t="n"/>
      <c r="K167" s="16">
        <f>IF(OR($A167="",I167="Pagado"),"",MAX(0,TODAY()-E167))</f>
        <v/>
      </c>
      <c r="L167" s="16">
        <f>IF($A167="","",IF(I167="Pagado","Pagado",IF(E167&lt;TODAY(),"Atrasado",IF(E167&lt;=EOMONTH(TODAY(),0),"Este mes","Pendiente"))))</f>
        <v/>
      </c>
      <c r="M167" s="20">
        <f>IF(OR($A167="",I167="Pagado"),"",HYPERLINK("https://wa.me/"&amp;IF(INDEX('Préstamos'!$C$2:$C$101,MATCH($A167,'Préstamos'!$A$2:$A$101,0))="","","51"&amp;SUBSTITUTE(INDEX('Préstamos'!$C$2:$C$101,MATCH($A167,'Préstamos'!$A$2:$A$101,0))," ",""))&amp;"?text="&amp;SUBSTITUTE("Hola "&amp;B167&amp;", te recuerdo que tu cuota de S/ "&amp;H167&amp;IF(E167&lt;TODAY()," vencio el "," vence el ")&amp;TEXT(E167,"dd/mm")&amp;". Gracias!"," ","%20"),"WhatsApp"))</f>
        <v/>
      </c>
    </row>
    <row r="168">
      <c r="A168" s="14" t="n"/>
      <c r="B168" s="16">
        <f>IF($A168="","",INDEX('Préstamos'!$B$2:$B$101,MATCH($A168,'Préstamos'!$A$2:$A$101,0)))</f>
        <v/>
      </c>
      <c r="C168" s="14" t="n"/>
      <c r="D168" s="14" t="n"/>
      <c r="E168" s="33" t="n"/>
      <c r="F168" s="29">
        <f>IF($A168="","",IF(D168="Solo interés",0,IF(AND(D168&lt;&gt;"Solo interés",C168=INDEX('Préstamos'!$G$2:$G$101,MATCH($A168,'Préstamos'!$A$2:$A$101,0))),INDEX('Préstamos'!$D$2:$D$101,MATCH($A168,'Préstamos'!$A$2:$A$101,0))-INDEX('Préstamos'!$J$2:$J$101,MATCH($A168,'Préstamos'!$A$2:$A$101,0))*(INDEX('Préstamos'!$G$2:$G$101,MATCH($A168,'Préstamos'!$A$2:$A$101,0))-1),INDEX('Préstamos'!$J$2:$J$101,MATCH($A168,'Préstamos'!$A$2:$A$101,0)))))</f>
        <v/>
      </c>
      <c r="G168" s="29">
        <f>IF($A168="","",IF(AND(D168&lt;&gt;"Solo interés",C168=INDEX('Préstamos'!$G$2:$G$101,MATCH($A168,'Préstamos'!$A$2:$A$101,0))),INDEX('Préstamos'!$I$2:$I$101,MATCH($A168,'Préstamos'!$A$2:$A$101,0))-INDEX('Préstamos'!$K$2:$K$101,MATCH($A168,'Préstamos'!$A$2:$A$101,0))*(INDEX('Préstamos'!$G$2:$G$101,MATCH($A168,'Préstamos'!$A$2:$A$101,0))-1),INDEX('Préstamos'!$K$2:$K$101,MATCH($A168,'Préstamos'!$A$2:$A$101,0))))</f>
        <v/>
      </c>
      <c r="H168" s="29">
        <f>IF($A168="","",F168+G168)</f>
        <v/>
      </c>
      <c r="I168" s="14" t="n"/>
      <c r="J168" s="33" t="n"/>
      <c r="K168" s="16">
        <f>IF(OR($A168="",I168="Pagado"),"",MAX(0,TODAY()-E168))</f>
        <v/>
      </c>
      <c r="L168" s="16">
        <f>IF($A168="","",IF(I168="Pagado","Pagado",IF(E168&lt;TODAY(),"Atrasado",IF(E168&lt;=EOMONTH(TODAY(),0),"Este mes","Pendiente"))))</f>
        <v/>
      </c>
      <c r="M168" s="20">
        <f>IF(OR($A168="",I168="Pagado"),"",HYPERLINK("https://wa.me/"&amp;IF(INDEX('Préstamos'!$C$2:$C$101,MATCH($A168,'Préstamos'!$A$2:$A$101,0))="","","51"&amp;SUBSTITUTE(INDEX('Préstamos'!$C$2:$C$101,MATCH($A168,'Préstamos'!$A$2:$A$101,0))," ",""))&amp;"?text="&amp;SUBSTITUTE("Hola "&amp;B168&amp;", te recuerdo que tu cuota de S/ "&amp;H168&amp;IF(E168&lt;TODAY()," vencio el "," vence el ")&amp;TEXT(E168,"dd/mm")&amp;". Gracias!"," ","%20"),"WhatsApp"))</f>
        <v/>
      </c>
    </row>
    <row r="169">
      <c r="A169" s="14" t="n"/>
      <c r="B169" s="16">
        <f>IF($A169="","",INDEX('Préstamos'!$B$2:$B$101,MATCH($A169,'Préstamos'!$A$2:$A$101,0)))</f>
        <v/>
      </c>
      <c r="C169" s="14" t="n"/>
      <c r="D169" s="14" t="n"/>
      <c r="E169" s="33" t="n"/>
      <c r="F169" s="29">
        <f>IF($A169="","",IF(D169="Solo interés",0,IF(AND(D169&lt;&gt;"Solo interés",C169=INDEX('Préstamos'!$G$2:$G$101,MATCH($A169,'Préstamos'!$A$2:$A$101,0))),INDEX('Préstamos'!$D$2:$D$101,MATCH($A169,'Préstamos'!$A$2:$A$101,0))-INDEX('Préstamos'!$J$2:$J$101,MATCH($A169,'Préstamos'!$A$2:$A$101,0))*(INDEX('Préstamos'!$G$2:$G$101,MATCH($A169,'Préstamos'!$A$2:$A$101,0))-1),INDEX('Préstamos'!$J$2:$J$101,MATCH($A169,'Préstamos'!$A$2:$A$101,0)))))</f>
        <v/>
      </c>
      <c r="G169" s="29">
        <f>IF($A169="","",IF(AND(D169&lt;&gt;"Solo interés",C169=INDEX('Préstamos'!$G$2:$G$101,MATCH($A169,'Préstamos'!$A$2:$A$101,0))),INDEX('Préstamos'!$I$2:$I$101,MATCH($A169,'Préstamos'!$A$2:$A$101,0))-INDEX('Préstamos'!$K$2:$K$101,MATCH($A169,'Préstamos'!$A$2:$A$101,0))*(INDEX('Préstamos'!$G$2:$G$101,MATCH($A169,'Préstamos'!$A$2:$A$101,0))-1),INDEX('Préstamos'!$K$2:$K$101,MATCH($A169,'Préstamos'!$A$2:$A$101,0))))</f>
        <v/>
      </c>
      <c r="H169" s="29">
        <f>IF($A169="","",F169+G169)</f>
        <v/>
      </c>
      <c r="I169" s="14" t="n"/>
      <c r="J169" s="33" t="n"/>
      <c r="K169" s="16">
        <f>IF(OR($A169="",I169="Pagado"),"",MAX(0,TODAY()-E169))</f>
        <v/>
      </c>
      <c r="L169" s="16">
        <f>IF($A169="","",IF(I169="Pagado","Pagado",IF(E169&lt;TODAY(),"Atrasado",IF(E169&lt;=EOMONTH(TODAY(),0),"Este mes","Pendiente"))))</f>
        <v/>
      </c>
      <c r="M169" s="20">
        <f>IF(OR($A169="",I169="Pagado"),"",HYPERLINK("https://wa.me/"&amp;IF(INDEX('Préstamos'!$C$2:$C$101,MATCH($A169,'Préstamos'!$A$2:$A$101,0))="","","51"&amp;SUBSTITUTE(INDEX('Préstamos'!$C$2:$C$101,MATCH($A169,'Préstamos'!$A$2:$A$101,0))," ",""))&amp;"?text="&amp;SUBSTITUTE("Hola "&amp;B169&amp;", te recuerdo que tu cuota de S/ "&amp;H169&amp;IF(E169&lt;TODAY()," vencio el "," vence el ")&amp;TEXT(E169,"dd/mm")&amp;". Gracias!"," ","%20"),"WhatsApp"))</f>
        <v/>
      </c>
    </row>
    <row r="170">
      <c r="A170" s="14" t="n"/>
      <c r="B170" s="16">
        <f>IF($A170="","",INDEX('Préstamos'!$B$2:$B$101,MATCH($A170,'Préstamos'!$A$2:$A$101,0)))</f>
        <v/>
      </c>
      <c r="C170" s="14" t="n"/>
      <c r="D170" s="14" t="n"/>
      <c r="E170" s="33" t="n"/>
      <c r="F170" s="29">
        <f>IF($A170="","",IF(D170="Solo interés",0,IF(AND(D170&lt;&gt;"Solo interés",C170=INDEX('Préstamos'!$G$2:$G$101,MATCH($A170,'Préstamos'!$A$2:$A$101,0))),INDEX('Préstamos'!$D$2:$D$101,MATCH($A170,'Préstamos'!$A$2:$A$101,0))-INDEX('Préstamos'!$J$2:$J$101,MATCH($A170,'Préstamos'!$A$2:$A$101,0))*(INDEX('Préstamos'!$G$2:$G$101,MATCH($A170,'Préstamos'!$A$2:$A$101,0))-1),INDEX('Préstamos'!$J$2:$J$101,MATCH($A170,'Préstamos'!$A$2:$A$101,0)))))</f>
        <v/>
      </c>
      <c r="G170" s="29">
        <f>IF($A170="","",IF(AND(D170&lt;&gt;"Solo interés",C170=INDEX('Préstamos'!$G$2:$G$101,MATCH($A170,'Préstamos'!$A$2:$A$101,0))),INDEX('Préstamos'!$I$2:$I$101,MATCH($A170,'Préstamos'!$A$2:$A$101,0))-INDEX('Préstamos'!$K$2:$K$101,MATCH($A170,'Préstamos'!$A$2:$A$101,0))*(INDEX('Préstamos'!$G$2:$G$101,MATCH($A170,'Préstamos'!$A$2:$A$101,0))-1),INDEX('Préstamos'!$K$2:$K$101,MATCH($A170,'Préstamos'!$A$2:$A$101,0))))</f>
        <v/>
      </c>
      <c r="H170" s="29">
        <f>IF($A170="","",F170+G170)</f>
        <v/>
      </c>
      <c r="I170" s="14" t="n"/>
      <c r="J170" s="33" t="n"/>
      <c r="K170" s="16">
        <f>IF(OR($A170="",I170="Pagado"),"",MAX(0,TODAY()-E170))</f>
        <v/>
      </c>
      <c r="L170" s="16">
        <f>IF($A170="","",IF(I170="Pagado","Pagado",IF(E170&lt;TODAY(),"Atrasado",IF(E170&lt;=EOMONTH(TODAY(),0),"Este mes","Pendiente"))))</f>
        <v/>
      </c>
      <c r="M170" s="20">
        <f>IF(OR($A170="",I170="Pagado"),"",HYPERLINK("https://wa.me/"&amp;IF(INDEX('Préstamos'!$C$2:$C$101,MATCH($A170,'Préstamos'!$A$2:$A$101,0))="","","51"&amp;SUBSTITUTE(INDEX('Préstamos'!$C$2:$C$101,MATCH($A170,'Préstamos'!$A$2:$A$101,0))," ",""))&amp;"?text="&amp;SUBSTITUTE("Hola "&amp;B170&amp;", te recuerdo que tu cuota de S/ "&amp;H170&amp;IF(E170&lt;TODAY()," vencio el "," vence el ")&amp;TEXT(E170,"dd/mm")&amp;". Gracias!"," ","%20"),"WhatsApp"))</f>
        <v/>
      </c>
    </row>
    <row r="171">
      <c r="A171" s="14" t="n"/>
      <c r="B171" s="16">
        <f>IF($A171="","",INDEX('Préstamos'!$B$2:$B$101,MATCH($A171,'Préstamos'!$A$2:$A$101,0)))</f>
        <v/>
      </c>
      <c r="C171" s="14" t="n"/>
      <c r="D171" s="14" t="n"/>
      <c r="E171" s="33" t="n"/>
      <c r="F171" s="29">
        <f>IF($A171="","",IF(D171="Solo interés",0,IF(AND(D171&lt;&gt;"Solo interés",C171=INDEX('Préstamos'!$G$2:$G$101,MATCH($A171,'Préstamos'!$A$2:$A$101,0))),INDEX('Préstamos'!$D$2:$D$101,MATCH($A171,'Préstamos'!$A$2:$A$101,0))-INDEX('Préstamos'!$J$2:$J$101,MATCH($A171,'Préstamos'!$A$2:$A$101,0))*(INDEX('Préstamos'!$G$2:$G$101,MATCH($A171,'Préstamos'!$A$2:$A$101,0))-1),INDEX('Préstamos'!$J$2:$J$101,MATCH($A171,'Préstamos'!$A$2:$A$101,0)))))</f>
        <v/>
      </c>
      <c r="G171" s="29">
        <f>IF($A171="","",IF(AND(D171&lt;&gt;"Solo interés",C171=INDEX('Préstamos'!$G$2:$G$101,MATCH($A171,'Préstamos'!$A$2:$A$101,0))),INDEX('Préstamos'!$I$2:$I$101,MATCH($A171,'Préstamos'!$A$2:$A$101,0))-INDEX('Préstamos'!$K$2:$K$101,MATCH($A171,'Préstamos'!$A$2:$A$101,0))*(INDEX('Préstamos'!$G$2:$G$101,MATCH($A171,'Préstamos'!$A$2:$A$101,0))-1),INDEX('Préstamos'!$K$2:$K$101,MATCH($A171,'Préstamos'!$A$2:$A$101,0))))</f>
        <v/>
      </c>
      <c r="H171" s="29">
        <f>IF($A171="","",F171+G171)</f>
        <v/>
      </c>
      <c r="I171" s="14" t="n"/>
      <c r="J171" s="33" t="n"/>
      <c r="K171" s="16">
        <f>IF(OR($A171="",I171="Pagado"),"",MAX(0,TODAY()-E171))</f>
        <v/>
      </c>
      <c r="L171" s="16">
        <f>IF($A171="","",IF(I171="Pagado","Pagado",IF(E171&lt;TODAY(),"Atrasado",IF(E171&lt;=EOMONTH(TODAY(),0),"Este mes","Pendiente"))))</f>
        <v/>
      </c>
      <c r="M171" s="20">
        <f>IF(OR($A171="",I171="Pagado"),"",HYPERLINK("https://wa.me/"&amp;IF(INDEX('Préstamos'!$C$2:$C$101,MATCH($A171,'Préstamos'!$A$2:$A$101,0))="","","51"&amp;SUBSTITUTE(INDEX('Préstamos'!$C$2:$C$101,MATCH($A171,'Préstamos'!$A$2:$A$101,0))," ",""))&amp;"?text="&amp;SUBSTITUTE("Hola "&amp;B171&amp;", te recuerdo que tu cuota de S/ "&amp;H171&amp;IF(E171&lt;TODAY()," vencio el "," vence el ")&amp;TEXT(E171,"dd/mm")&amp;". Gracias!"," ","%20"),"WhatsApp"))</f>
        <v/>
      </c>
    </row>
    <row r="172">
      <c r="A172" s="14" t="n"/>
      <c r="B172" s="16">
        <f>IF($A172="","",INDEX('Préstamos'!$B$2:$B$101,MATCH($A172,'Préstamos'!$A$2:$A$101,0)))</f>
        <v/>
      </c>
      <c r="C172" s="14" t="n"/>
      <c r="D172" s="14" t="n"/>
      <c r="E172" s="33" t="n"/>
      <c r="F172" s="29">
        <f>IF($A172="","",IF(D172="Solo interés",0,IF(AND(D172&lt;&gt;"Solo interés",C172=INDEX('Préstamos'!$G$2:$G$101,MATCH($A172,'Préstamos'!$A$2:$A$101,0))),INDEX('Préstamos'!$D$2:$D$101,MATCH($A172,'Préstamos'!$A$2:$A$101,0))-INDEX('Préstamos'!$J$2:$J$101,MATCH($A172,'Préstamos'!$A$2:$A$101,0))*(INDEX('Préstamos'!$G$2:$G$101,MATCH($A172,'Préstamos'!$A$2:$A$101,0))-1),INDEX('Préstamos'!$J$2:$J$101,MATCH($A172,'Préstamos'!$A$2:$A$101,0)))))</f>
        <v/>
      </c>
      <c r="G172" s="29">
        <f>IF($A172="","",IF(AND(D172&lt;&gt;"Solo interés",C172=INDEX('Préstamos'!$G$2:$G$101,MATCH($A172,'Préstamos'!$A$2:$A$101,0))),INDEX('Préstamos'!$I$2:$I$101,MATCH($A172,'Préstamos'!$A$2:$A$101,0))-INDEX('Préstamos'!$K$2:$K$101,MATCH($A172,'Préstamos'!$A$2:$A$101,0))*(INDEX('Préstamos'!$G$2:$G$101,MATCH($A172,'Préstamos'!$A$2:$A$101,0))-1),INDEX('Préstamos'!$K$2:$K$101,MATCH($A172,'Préstamos'!$A$2:$A$101,0))))</f>
        <v/>
      </c>
      <c r="H172" s="29">
        <f>IF($A172="","",F172+G172)</f>
        <v/>
      </c>
      <c r="I172" s="14" t="n"/>
      <c r="J172" s="33" t="n"/>
      <c r="K172" s="16">
        <f>IF(OR($A172="",I172="Pagado"),"",MAX(0,TODAY()-E172))</f>
        <v/>
      </c>
      <c r="L172" s="16">
        <f>IF($A172="","",IF(I172="Pagado","Pagado",IF(E172&lt;TODAY(),"Atrasado",IF(E172&lt;=EOMONTH(TODAY(),0),"Este mes","Pendiente"))))</f>
        <v/>
      </c>
      <c r="M172" s="20">
        <f>IF(OR($A172="",I172="Pagado"),"",HYPERLINK("https://wa.me/"&amp;IF(INDEX('Préstamos'!$C$2:$C$101,MATCH($A172,'Préstamos'!$A$2:$A$101,0))="","","51"&amp;SUBSTITUTE(INDEX('Préstamos'!$C$2:$C$101,MATCH($A172,'Préstamos'!$A$2:$A$101,0))," ",""))&amp;"?text="&amp;SUBSTITUTE("Hola "&amp;B172&amp;", te recuerdo que tu cuota de S/ "&amp;H172&amp;IF(E172&lt;TODAY()," vencio el "," vence el ")&amp;TEXT(E172,"dd/mm")&amp;". Gracias!"," ","%20"),"WhatsApp"))</f>
        <v/>
      </c>
    </row>
    <row r="173">
      <c r="A173" s="14" t="n"/>
      <c r="B173" s="16">
        <f>IF($A173="","",INDEX('Préstamos'!$B$2:$B$101,MATCH($A173,'Préstamos'!$A$2:$A$101,0)))</f>
        <v/>
      </c>
      <c r="C173" s="14" t="n"/>
      <c r="D173" s="14" t="n"/>
      <c r="E173" s="33" t="n"/>
      <c r="F173" s="29">
        <f>IF($A173="","",IF(D173="Solo interés",0,IF(AND(D173&lt;&gt;"Solo interés",C173=INDEX('Préstamos'!$G$2:$G$101,MATCH($A173,'Préstamos'!$A$2:$A$101,0))),INDEX('Préstamos'!$D$2:$D$101,MATCH($A173,'Préstamos'!$A$2:$A$101,0))-INDEX('Préstamos'!$J$2:$J$101,MATCH($A173,'Préstamos'!$A$2:$A$101,0))*(INDEX('Préstamos'!$G$2:$G$101,MATCH($A173,'Préstamos'!$A$2:$A$101,0))-1),INDEX('Préstamos'!$J$2:$J$101,MATCH($A173,'Préstamos'!$A$2:$A$101,0)))))</f>
        <v/>
      </c>
      <c r="G173" s="29">
        <f>IF($A173="","",IF(AND(D173&lt;&gt;"Solo interés",C173=INDEX('Préstamos'!$G$2:$G$101,MATCH($A173,'Préstamos'!$A$2:$A$101,0))),INDEX('Préstamos'!$I$2:$I$101,MATCH($A173,'Préstamos'!$A$2:$A$101,0))-INDEX('Préstamos'!$K$2:$K$101,MATCH($A173,'Préstamos'!$A$2:$A$101,0))*(INDEX('Préstamos'!$G$2:$G$101,MATCH($A173,'Préstamos'!$A$2:$A$101,0))-1),INDEX('Préstamos'!$K$2:$K$101,MATCH($A173,'Préstamos'!$A$2:$A$101,0))))</f>
        <v/>
      </c>
      <c r="H173" s="29">
        <f>IF($A173="","",F173+G173)</f>
        <v/>
      </c>
      <c r="I173" s="14" t="n"/>
      <c r="J173" s="33" t="n"/>
      <c r="K173" s="16">
        <f>IF(OR($A173="",I173="Pagado"),"",MAX(0,TODAY()-E173))</f>
        <v/>
      </c>
      <c r="L173" s="16">
        <f>IF($A173="","",IF(I173="Pagado","Pagado",IF(E173&lt;TODAY(),"Atrasado",IF(E173&lt;=EOMONTH(TODAY(),0),"Este mes","Pendiente"))))</f>
        <v/>
      </c>
      <c r="M173" s="20">
        <f>IF(OR($A173="",I173="Pagado"),"",HYPERLINK("https://wa.me/"&amp;IF(INDEX('Préstamos'!$C$2:$C$101,MATCH($A173,'Préstamos'!$A$2:$A$101,0))="","","51"&amp;SUBSTITUTE(INDEX('Préstamos'!$C$2:$C$101,MATCH($A173,'Préstamos'!$A$2:$A$101,0))," ",""))&amp;"?text="&amp;SUBSTITUTE("Hola "&amp;B173&amp;", te recuerdo que tu cuota de S/ "&amp;H173&amp;IF(E173&lt;TODAY()," vencio el "," vence el ")&amp;TEXT(E173,"dd/mm")&amp;". Gracias!"," ","%20"),"WhatsApp"))</f>
        <v/>
      </c>
    </row>
    <row r="174">
      <c r="A174" s="14" t="n"/>
      <c r="B174" s="16">
        <f>IF($A174="","",INDEX('Préstamos'!$B$2:$B$101,MATCH($A174,'Préstamos'!$A$2:$A$101,0)))</f>
        <v/>
      </c>
      <c r="C174" s="14" t="n"/>
      <c r="D174" s="14" t="n"/>
      <c r="E174" s="33" t="n"/>
      <c r="F174" s="29">
        <f>IF($A174="","",IF(D174="Solo interés",0,IF(AND(D174&lt;&gt;"Solo interés",C174=INDEX('Préstamos'!$G$2:$G$101,MATCH($A174,'Préstamos'!$A$2:$A$101,0))),INDEX('Préstamos'!$D$2:$D$101,MATCH($A174,'Préstamos'!$A$2:$A$101,0))-INDEX('Préstamos'!$J$2:$J$101,MATCH($A174,'Préstamos'!$A$2:$A$101,0))*(INDEX('Préstamos'!$G$2:$G$101,MATCH($A174,'Préstamos'!$A$2:$A$101,0))-1),INDEX('Préstamos'!$J$2:$J$101,MATCH($A174,'Préstamos'!$A$2:$A$101,0)))))</f>
        <v/>
      </c>
      <c r="G174" s="29">
        <f>IF($A174="","",IF(AND(D174&lt;&gt;"Solo interés",C174=INDEX('Préstamos'!$G$2:$G$101,MATCH($A174,'Préstamos'!$A$2:$A$101,0))),INDEX('Préstamos'!$I$2:$I$101,MATCH($A174,'Préstamos'!$A$2:$A$101,0))-INDEX('Préstamos'!$K$2:$K$101,MATCH($A174,'Préstamos'!$A$2:$A$101,0))*(INDEX('Préstamos'!$G$2:$G$101,MATCH($A174,'Préstamos'!$A$2:$A$101,0))-1),INDEX('Préstamos'!$K$2:$K$101,MATCH($A174,'Préstamos'!$A$2:$A$101,0))))</f>
        <v/>
      </c>
      <c r="H174" s="29">
        <f>IF($A174="","",F174+G174)</f>
        <v/>
      </c>
      <c r="I174" s="14" t="n"/>
      <c r="J174" s="33" t="n"/>
      <c r="K174" s="16">
        <f>IF(OR($A174="",I174="Pagado"),"",MAX(0,TODAY()-E174))</f>
        <v/>
      </c>
      <c r="L174" s="16">
        <f>IF($A174="","",IF(I174="Pagado","Pagado",IF(E174&lt;TODAY(),"Atrasado",IF(E174&lt;=EOMONTH(TODAY(),0),"Este mes","Pendiente"))))</f>
        <v/>
      </c>
      <c r="M174" s="20">
        <f>IF(OR($A174="",I174="Pagado"),"",HYPERLINK("https://wa.me/"&amp;IF(INDEX('Préstamos'!$C$2:$C$101,MATCH($A174,'Préstamos'!$A$2:$A$101,0))="","","51"&amp;SUBSTITUTE(INDEX('Préstamos'!$C$2:$C$101,MATCH($A174,'Préstamos'!$A$2:$A$101,0))," ",""))&amp;"?text="&amp;SUBSTITUTE("Hola "&amp;B174&amp;", te recuerdo que tu cuota de S/ "&amp;H174&amp;IF(E174&lt;TODAY()," vencio el "," vence el ")&amp;TEXT(E174,"dd/mm")&amp;". Gracias!"," ","%20"),"WhatsApp"))</f>
        <v/>
      </c>
    </row>
    <row r="175">
      <c r="A175" s="14" t="n"/>
      <c r="B175" s="16">
        <f>IF($A175="","",INDEX('Préstamos'!$B$2:$B$101,MATCH($A175,'Préstamos'!$A$2:$A$101,0)))</f>
        <v/>
      </c>
      <c r="C175" s="14" t="n"/>
      <c r="D175" s="14" t="n"/>
      <c r="E175" s="33" t="n"/>
      <c r="F175" s="29">
        <f>IF($A175="","",IF(D175="Solo interés",0,IF(AND(D175&lt;&gt;"Solo interés",C175=INDEX('Préstamos'!$G$2:$G$101,MATCH($A175,'Préstamos'!$A$2:$A$101,0))),INDEX('Préstamos'!$D$2:$D$101,MATCH($A175,'Préstamos'!$A$2:$A$101,0))-INDEX('Préstamos'!$J$2:$J$101,MATCH($A175,'Préstamos'!$A$2:$A$101,0))*(INDEX('Préstamos'!$G$2:$G$101,MATCH($A175,'Préstamos'!$A$2:$A$101,0))-1),INDEX('Préstamos'!$J$2:$J$101,MATCH($A175,'Préstamos'!$A$2:$A$101,0)))))</f>
        <v/>
      </c>
      <c r="G175" s="29">
        <f>IF($A175="","",IF(AND(D175&lt;&gt;"Solo interés",C175=INDEX('Préstamos'!$G$2:$G$101,MATCH($A175,'Préstamos'!$A$2:$A$101,0))),INDEX('Préstamos'!$I$2:$I$101,MATCH($A175,'Préstamos'!$A$2:$A$101,0))-INDEX('Préstamos'!$K$2:$K$101,MATCH($A175,'Préstamos'!$A$2:$A$101,0))*(INDEX('Préstamos'!$G$2:$G$101,MATCH($A175,'Préstamos'!$A$2:$A$101,0))-1),INDEX('Préstamos'!$K$2:$K$101,MATCH($A175,'Préstamos'!$A$2:$A$101,0))))</f>
        <v/>
      </c>
      <c r="H175" s="29">
        <f>IF($A175="","",F175+G175)</f>
        <v/>
      </c>
      <c r="I175" s="14" t="n"/>
      <c r="J175" s="33" t="n"/>
      <c r="K175" s="16">
        <f>IF(OR($A175="",I175="Pagado"),"",MAX(0,TODAY()-E175))</f>
        <v/>
      </c>
      <c r="L175" s="16">
        <f>IF($A175="","",IF(I175="Pagado","Pagado",IF(E175&lt;TODAY(),"Atrasado",IF(E175&lt;=EOMONTH(TODAY(),0),"Este mes","Pendiente"))))</f>
        <v/>
      </c>
      <c r="M175" s="20">
        <f>IF(OR($A175="",I175="Pagado"),"",HYPERLINK("https://wa.me/"&amp;IF(INDEX('Préstamos'!$C$2:$C$101,MATCH($A175,'Préstamos'!$A$2:$A$101,0))="","","51"&amp;SUBSTITUTE(INDEX('Préstamos'!$C$2:$C$101,MATCH($A175,'Préstamos'!$A$2:$A$101,0))," ",""))&amp;"?text="&amp;SUBSTITUTE("Hola "&amp;B175&amp;", te recuerdo que tu cuota de S/ "&amp;H175&amp;IF(E175&lt;TODAY()," vencio el "," vence el ")&amp;TEXT(E175,"dd/mm")&amp;". Gracias!"," ","%20"),"WhatsApp"))</f>
        <v/>
      </c>
    </row>
    <row r="176">
      <c r="A176" s="14" t="n"/>
      <c r="B176" s="16">
        <f>IF($A176="","",INDEX('Préstamos'!$B$2:$B$101,MATCH($A176,'Préstamos'!$A$2:$A$101,0)))</f>
        <v/>
      </c>
      <c r="C176" s="14" t="n"/>
      <c r="D176" s="14" t="n"/>
      <c r="E176" s="33" t="n"/>
      <c r="F176" s="29">
        <f>IF($A176="","",IF(D176="Solo interés",0,IF(AND(D176&lt;&gt;"Solo interés",C176=INDEX('Préstamos'!$G$2:$G$101,MATCH($A176,'Préstamos'!$A$2:$A$101,0))),INDEX('Préstamos'!$D$2:$D$101,MATCH($A176,'Préstamos'!$A$2:$A$101,0))-INDEX('Préstamos'!$J$2:$J$101,MATCH($A176,'Préstamos'!$A$2:$A$101,0))*(INDEX('Préstamos'!$G$2:$G$101,MATCH($A176,'Préstamos'!$A$2:$A$101,0))-1),INDEX('Préstamos'!$J$2:$J$101,MATCH($A176,'Préstamos'!$A$2:$A$101,0)))))</f>
        <v/>
      </c>
      <c r="G176" s="29">
        <f>IF($A176="","",IF(AND(D176&lt;&gt;"Solo interés",C176=INDEX('Préstamos'!$G$2:$G$101,MATCH($A176,'Préstamos'!$A$2:$A$101,0))),INDEX('Préstamos'!$I$2:$I$101,MATCH($A176,'Préstamos'!$A$2:$A$101,0))-INDEX('Préstamos'!$K$2:$K$101,MATCH($A176,'Préstamos'!$A$2:$A$101,0))*(INDEX('Préstamos'!$G$2:$G$101,MATCH($A176,'Préstamos'!$A$2:$A$101,0))-1),INDEX('Préstamos'!$K$2:$K$101,MATCH($A176,'Préstamos'!$A$2:$A$101,0))))</f>
        <v/>
      </c>
      <c r="H176" s="29">
        <f>IF($A176="","",F176+G176)</f>
        <v/>
      </c>
      <c r="I176" s="14" t="n"/>
      <c r="J176" s="33" t="n"/>
      <c r="K176" s="16">
        <f>IF(OR($A176="",I176="Pagado"),"",MAX(0,TODAY()-E176))</f>
        <v/>
      </c>
      <c r="L176" s="16">
        <f>IF($A176="","",IF(I176="Pagado","Pagado",IF(E176&lt;TODAY(),"Atrasado",IF(E176&lt;=EOMONTH(TODAY(),0),"Este mes","Pendiente"))))</f>
        <v/>
      </c>
      <c r="M176" s="20">
        <f>IF(OR($A176="",I176="Pagado"),"",HYPERLINK("https://wa.me/"&amp;IF(INDEX('Préstamos'!$C$2:$C$101,MATCH($A176,'Préstamos'!$A$2:$A$101,0))="","","51"&amp;SUBSTITUTE(INDEX('Préstamos'!$C$2:$C$101,MATCH($A176,'Préstamos'!$A$2:$A$101,0))," ",""))&amp;"?text="&amp;SUBSTITUTE("Hola "&amp;B176&amp;", te recuerdo que tu cuota de S/ "&amp;H176&amp;IF(E176&lt;TODAY()," vencio el "," vence el ")&amp;TEXT(E176,"dd/mm")&amp;". Gracias!"," ","%20"),"WhatsApp"))</f>
        <v/>
      </c>
    </row>
    <row r="177">
      <c r="A177" s="14" t="n"/>
      <c r="B177" s="16">
        <f>IF($A177="","",INDEX('Préstamos'!$B$2:$B$101,MATCH($A177,'Préstamos'!$A$2:$A$101,0)))</f>
        <v/>
      </c>
      <c r="C177" s="14" t="n"/>
      <c r="D177" s="14" t="n"/>
      <c r="E177" s="33" t="n"/>
      <c r="F177" s="29">
        <f>IF($A177="","",IF(D177="Solo interés",0,IF(AND(D177&lt;&gt;"Solo interés",C177=INDEX('Préstamos'!$G$2:$G$101,MATCH($A177,'Préstamos'!$A$2:$A$101,0))),INDEX('Préstamos'!$D$2:$D$101,MATCH($A177,'Préstamos'!$A$2:$A$101,0))-INDEX('Préstamos'!$J$2:$J$101,MATCH($A177,'Préstamos'!$A$2:$A$101,0))*(INDEX('Préstamos'!$G$2:$G$101,MATCH($A177,'Préstamos'!$A$2:$A$101,0))-1),INDEX('Préstamos'!$J$2:$J$101,MATCH($A177,'Préstamos'!$A$2:$A$101,0)))))</f>
        <v/>
      </c>
      <c r="G177" s="29">
        <f>IF($A177="","",IF(AND(D177&lt;&gt;"Solo interés",C177=INDEX('Préstamos'!$G$2:$G$101,MATCH($A177,'Préstamos'!$A$2:$A$101,0))),INDEX('Préstamos'!$I$2:$I$101,MATCH($A177,'Préstamos'!$A$2:$A$101,0))-INDEX('Préstamos'!$K$2:$K$101,MATCH($A177,'Préstamos'!$A$2:$A$101,0))*(INDEX('Préstamos'!$G$2:$G$101,MATCH($A177,'Préstamos'!$A$2:$A$101,0))-1),INDEX('Préstamos'!$K$2:$K$101,MATCH($A177,'Préstamos'!$A$2:$A$101,0))))</f>
        <v/>
      </c>
      <c r="H177" s="29">
        <f>IF($A177="","",F177+G177)</f>
        <v/>
      </c>
      <c r="I177" s="14" t="n"/>
      <c r="J177" s="33" t="n"/>
      <c r="K177" s="16">
        <f>IF(OR($A177="",I177="Pagado"),"",MAX(0,TODAY()-E177))</f>
        <v/>
      </c>
      <c r="L177" s="16">
        <f>IF($A177="","",IF(I177="Pagado","Pagado",IF(E177&lt;TODAY(),"Atrasado",IF(E177&lt;=EOMONTH(TODAY(),0),"Este mes","Pendiente"))))</f>
        <v/>
      </c>
      <c r="M177" s="20">
        <f>IF(OR($A177="",I177="Pagado"),"",HYPERLINK("https://wa.me/"&amp;IF(INDEX('Préstamos'!$C$2:$C$101,MATCH($A177,'Préstamos'!$A$2:$A$101,0))="","","51"&amp;SUBSTITUTE(INDEX('Préstamos'!$C$2:$C$101,MATCH($A177,'Préstamos'!$A$2:$A$101,0))," ",""))&amp;"?text="&amp;SUBSTITUTE("Hola "&amp;B177&amp;", te recuerdo que tu cuota de S/ "&amp;H177&amp;IF(E177&lt;TODAY()," vencio el "," vence el ")&amp;TEXT(E177,"dd/mm")&amp;". Gracias!"," ","%20"),"WhatsApp"))</f>
        <v/>
      </c>
    </row>
    <row r="178">
      <c r="A178" s="14" t="n"/>
      <c r="B178" s="16">
        <f>IF($A178="","",INDEX('Préstamos'!$B$2:$B$101,MATCH($A178,'Préstamos'!$A$2:$A$101,0)))</f>
        <v/>
      </c>
      <c r="C178" s="14" t="n"/>
      <c r="D178" s="14" t="n"/>
      <c r="E178" s="33" t="n"/>
      <c r="F178" s="29">
        <f>IF($A178="","",IF(D178="Solo interés",0,IF(AND(D178&lt;&gt;"Solo interés",C178=INDEX('Préstamos'!$G$2:$G$101,MATCH($A178,'Préstamos'!$A$2:$A$101,0))),INDEX('Préstamos'!$D$2:$D$101,MATCH($A178,'Préstamos'!$A$2:$A$101,0))-INDEX('Préstamos'!$J$2:$J$101,MATCH($A178,'Préstamos'!$A$2:$A$101,0))*(INDEX('Préstamos'!$G$2:$G$101,MATCH($A178,'Préstamos'!$A$2:$A$101,0))-1),INDEX('Préstamos'!$J$2:$J$101,MATCH($A178,'Préstamos'!$A$2:$A$101,0)))))</f>
        <v/>
      </c>
      <c r="G178" s="29">
        <f>IF($A178="","",IF(AND(D178&lt;&gt;"Solo interés",C178=INDEX('Préstamos'!$G$2:$G$101,MATCH($A178,'Préstamos'!$A$2:$A$101,0))),INDEX('Préstamos'!$I$2:$I$101,MATCH($A178,'Préstamos'!$A$2:$A$101,0))-INDEX('Préstamos'!$K$2:$K$101,MATCH($A178,'Préstamos'!$A$2:$A$101,0))*(INDEX('Préstamos'!$G$2:$G$101,MATCH($A178,'Préstamos'!$A$2:$A$101,0))-1),INDEX('Préstamos'!$K$2:$K$101,MATCH($A178,'Préstamos'!$A$2:$A$101,0))))</f>
        <v/>
      </c>
      <c r="H178" s="29">
        <f>IF($A178="","",F178+G178)</f>
        <v/>
      </c>
      <c r="I178" s="14" t="n"/>
      <c r="J178" s="33" t="n"/>
      <c r="K178" s="16">
        <f>IF(OR($A178="",I178="Pagado"),"",MAX(0,TODAY()-E178))</f>
        <v/>
      </c>
      <c r="L178" s="16">
        <f>IF($A178="","",IF(I178="Pagado","Pagado",IF(E178&lt;TODAY(),"Atrasado",IF(E178&lt;=EOMONTH(TODAY(),0),"Este mes","Pendiente"))))</f>
        <v/>
      </c>
      <c r="M178" s="20">
        <f>IF(OR($A178="",I178="Pagado"),"",HYPERLINK("https://wa.me/"&amp;IF(INDEX('Préstamos'!$C$2:$C$101,MATCH($A178,'Préstamos'!$A$2:$A$101,0))="","","51"&amp;SUBSTITUTE(INDEX('Préstamos'!$C$2:$C$101,MATCH($A178,'Préstamos'!$A$2:$A$101,0))," ",""))&amp;"?text="&amp;SUBSTITUTE("Hola "&amp;B178&amp;", te recuerdo que tu cuota de S/ "&amp;H178&amp;IF(E178&lt;TODAY()," vencio el "," vence el ")&amp;TEXT(E178,"dd/mm")&amp;". Gracias!"," ","%20"),"WhatsApp"))</f>
        <v/>
      </c>
    </row>
    <row r="179">
      <c r="A179" s="14" t="n"/>
      <c r="B179" s="16">
        <f>IF($A179="","",INDEX('Préstamos'!$B$2:$B$101,MATCH($A179,'Préstamos'!$A$2:$A$101,0)))</f>
        <v/>
      </c>
      <c r="C179" s="14" t="n"/>
      <c r="D179" s="14" t="n"/>
      <c r="E179" s="33" t="n"/>
      <c r="F179" s="29">
        <f>IF($A179="","",IF(D179="Solo interés",0,IF(AND(D179&lt;&gt;"Solo interés",C179=INDEX('Préstamos'!$G$2:$G$101,MATCH($A179,'Préstamos'!$A$2:$A$101,0))),INDEX('Préstamos'!$D$2:$D$101,MATCH($A179,'Préstamos'!$A$2:$A$101,0))-INDEX('Préstamos'!$J$2:$J$101,MATCH($A179,'Préstamos'!$A$2:$A$101,0))*(INDEX('Préstamos'!$G$2:$G$101,MATCH($A179,'Préstamos'!$A$2:$A$101,0))-1),INDEX('Préstamos'!$J$2:$J$101,MATCH($A179,'Préstamos'!$A$2:$A$101,0)))))</f>
        <v/>
      </c>
      <c r="G179" s="29">
        <f>IF($A179="","",IF(AND(D179&lt;&gt;"Solo interés",C179=INDEX('Préstamos'!$G$2:$G$101,MATCH($A179,'Préstamos'!$A$2:$A$101,0))),INDEX('Préstamos'!$I$2:$I$101,MATCH($A179,'Préstamos'!$A$2:$A$101,0))-INDEX('Préstamos'!$K$2:$K$101,MATCH($A179,'Préstamos'!$A$2:$A$101,0))*(INDEX('Préstamos'!$G$2:$G$101,MATCH($A179,'Préstamos'!$A$2:$A$101,0))-1),INDEX('Préstamos'!$K$2:$K$101,MATCH($A179,'Préstamos'!$A$2:$A$101,0))))</f>
        <v/>
      </c>
      <c r="H179" s="29">
        <f>IF($A179="","",F179+G179)</f>
        <v/>
      </c>
      <c r="I179" s="14" t="n"/>
      <c r="J179" s="33" t="n"/>
      <c r="K179" s="16">
        <f>IF(OR($A179="",I179="Pagado"),"",MAX(0,TODAY()-E179))</f>
        <v/>
      </c>
      <c r="L179" s="16">
        <f>IF($A179="","",IF(I179="Pagado","Pagado",IF(E179&lt;TODAY(),"Atrasado",IF(E179&lt;=EOMONTH(TODAY(),0),"Este mes","Pendiente"))))</f>
        <v/>
      </c>
      <c r="M179" s="20">
        <f>IF(OR($A179="",I179="Pagado"),"",HYPERLINK("https://wa.me/"&amp;IF(INDEX('Préstamos'!$C$2:$C$101,MATCH($A179,'Préstamos'!$A$2:$A$101,0))="","","51"&amp;SUBSTITUTE(INDEX('Préstamos'!$C$2:$C$101,MATCH($A179,'Préstamos'!$A$2:$A$101,0))," ",""))&amp;"?text="&amp;SUBSTITUTE("Hola "&amp;B179&amp;", te recuerdo que tu cuota de S/ "&amp;H179&amp;IF(E179&lt;TODAY()," vencio el "," vence el ")&amp;TEXT(E179,"dd/mm")&amp;". Gracias!"," ","%20"),"WhatsApp"))</f>
        <v/>
      </c>
    </row>
    <row r="180">
      <c r="A180" s="14" t="n"/>
      <c r="B180" s="16">
        <f>IF($A180="","",INDEX('Préstamos'!$B$2:$B$101,MATCH($A180,'Préstamos'!$A$2:$A$101,0)))</f>
        <v/>
      </c>
      <c r="C180" s="14" t="n"/>
      <c r="D180" s="14" t="n"/>
      <c r="E180" s="33" t="n"/>
      <c r="F180" s="29">
        <f>IF($A180="","",IF(D180="Solo interés",0,IF(AND(D180&lt;&gt;"Solo interés",C180=INDEX('Préstamos'!$G$2:$G$101,MATCH($A180,'Préstamos'!$A$2:$A$101,0))),INDEX('Préstamos'!$D$2:$D$101,MATCH($A180,'Préstamos'!$A$2:$A$101,0))-INDEX('Préstamos'!$J$2:$J$101,MATCH($A180,'Préstamos'!$A$2:$A$101,0))*(INDEX('Préstamos'!$G$2:$G$101,MATCH($A180,'Préstamos'!$A$2:$A$101,0))-1),INDEX('Préstamos'!$J$2:$J$101,MATCH($A180,'Préstamos'!$A$2:$A$101,0)))))</f>
        <v/>
      </c>
      <c r="G180" s="29">
        <f>IF($A180="","",IF(AND(D180&lt;&gt;"Solo interés",C180=INDEX('Préstamos'!$G$2:$G$101,MATCH($A180,'Préstamos'!$A$2:$A$101,0))),INDEX('Préstamos'!$I$2:$I$101,MATCH($A180,'Préstamos'!$A$2:$A$101,0))-INDEX('Préstamos'!$K$2:$K$101,MATCH($A180,'Préstamos'!$A$2:$A$101,0))*(INDEX('Préstamos'!$G$2:$G$101,MATCH($A180,'Préstamos'!$A$2:$A$101,0))-1),INDEX('Préstamos'!$K$2:$K$101,MATCH($A180,'Préstamos'!$A$2:$A$101,0))))</f>
        <v/>
      </c>
      <c r="H180" s="29">
        <f>IF($A180="","",F180+G180)</f>
        <v/>
      </c>
      <c r="I180" s="14" t="n"/>
      <c r="J180" s="33" t="n"/>
      <c r="K180" s="16">
        <f>IF(OR($A180="",I180="Pagado"),"",MAX(0,TODAY()-E180))</f>
        <v/>
      </c>
      <c r="L180" s="16">
        <f>IF($A180="","",IF(I180="Pagado","Pagado",IF(E180&lt;TODAY(),"Atrasado",IF(E180&lt;=EOMONTH(TODAY(),0),"Este mes","Pendiente"))))</f>
        <v/>
      </c>
      <c r="M180" s="20">
        <f>IF(OR($A180="",I180="Pagado"),"",HYPERLINK("https://wa.me/"&amp;IF(INDEX('Préstamos'!$C$2:$C$101,MATCH($A180,'Préstamos'!$A$2:$A$101,0))="","","51"&amp;SUBSTITUTE(INDEX('Préstamos'!$C$2:$C$101,MATCH($A180,'Préstamos'!$A$2:$A$101,0))," ",""))&amp;"?text="&amp;SUBSTITUTE("Hola "&amp;B180&amp;", te recuerdo que tu cuota de S/ "&amp;H180&amp;IF(E180&lt;TODAY()," vencio el "," vence el ")&amp;TEXT(E180,"dd/mm")&amp;". Gracias!"," ","%20"),"WhatsApp"))</f>
        <v/>
      </c>
    </row>
    <row r="181">
      <c r="A181" s="14" t="n"/>
      <c r="B181" s="16">
        <f>IF($A181="","",INDEX('Préstamos'!$B$2:$B$101,MATCH($A181,'Préstamos'!$A$2:$A$101,0)))</f>
        <v/>
      </c>
      <c r="C181" s="14" t="n"/>
      <c r="D181" s="14" t="n"/>
      <c r="E181" s="33" t="n"/>
      <c r="F181" s="29">
        <f>IF($A181="","",IF(D181="Solo interés",0,IF(AND(D181&lt;&gt;"Solo interés",C181=INDEX('Préstamos'!$G$2:$G$101,MATCH($A181,'Préstamos'!$A$2:$A$101,0))),INDEX('Préstamos'!$D$2:$D$101,MATCH($A181,'Préstamos'!$A$2:$A$101,0))-INDEX('Préstamos'!$J$2:$J$101,MATCH($A181,'Préstamos'!$A$2:$A$101,0))*(INDEX('Préstamos'!$G$2:$G$101,MATCH($A181,'Préstamos'!$A$2:$A$101,0))-1),INDEX('Préstamos'!$J$2:$J$101,MATCH($A181,'Préstamos'!$A$2:$A$101,0)))))</f>
        <v/>
      </c>
      <c r="G181" s="29">
        <f>IF($A181="","",IF(AND(D181&lt;&gt;"Solo interés",C181=INDEX('Préstamos'!$G$2:$G$101,MATCH($A181,'Préstamos'!$A$2:$A$101,0))),INDEX('Préstamos'!$I$2:$I$101,MATCH($A181,'Préstamos'!$A$2:$A$101,0))-INDEX('Préstamos'!$K$2:$K$101,MATCH($A181,'Préstamos'!$A$2:$A$101,0))*(INDEX('Préstamos'!$G$2:$G$101,MATCH($A181,'Préstamos'!$A$2:$A$101,0))-1),INDEX('Préstamos'!$K$2:$K$101,MATCH($A181,'Préstamos'!$A$2:$A$101,0))))</f>
        <v/>
      </c>
      <c r="H181" s="29">
        <f>IF($A181="","",F181+G181)</f>
        <v/>
      </c>
      <c r="I181" s="14" t="n"/>
      <c r="J181" s="33" t="n"/>
      <c r="K181" s="16">
        <f>IF(OR($A181="",I181="Pagado"),"",MAX(0,TODAY()-E181))</f>
        <v/>
      </c>
      <c r="L181" s="16">
        <f>IF($A181="","",IF(I181="Pagado","Pagado",IF(E181&lt;TODAY(),"Atrasado",IF(E181&lt;=EOMONTH(TODAY(),0),"Este mes","Pendiente"))))</f>
        <v/>
      </c>
      <c r="M181" s="20">
        <f>IF(OR($A181="",I181="Pagado"),"",HYPERLINK("https://wa.me/"&amp;IF(INDEX('Préstamos'!$C$2:$C$101,MATCH($A181,'Préstamos'!$A$2:$A$101,0))="","","51"&amp;SUBSTITUTE(INDEX('Préstamos'!$C$2:$C$101,MATCH($A181,'Préstamos'!$A$2:$A$101,0))," ",""))&amp;"?text="&amp;SUBSTITUTE("Hola "&amp;B181&amp;", te recuerdo que tu cuota de S/ "&amp;H181&amp;IF(E181&lt;TODAY()," vencio el "," vence el ")&amp;TEXT(E181,"dd/mm")&amp;". Gracias!"," ","%20"),"WhatsApp"))</f>
        <v/>
      </c>
    </row>
    <row r="182">
      <c r="A182" s="14" t="n"/>
      <c r="B182" s="16">
        <f>IF($A182="","",INDEX('Préstamos'!$B$2:$B$101,MATCH($A182,'Préstamos'!$A$2:$A$101,0)))</f>
        <v/>
      </c>
      <c r="C182" s="14" t="n"/>
      <c r="D182" s="14" t="n"/>
      <c r="E182" s="33" t="n"/>
      <c r="F182" s="29">
        <f>IF($A182="","",IF(D182="Solo interés",0,IF(AND(D182&lt;&gt;"Solo interés",C182=INDEX('Préstamos'!$G$2:$G$101,MATCH($A182,'Préstamos'!$A$2:$A$101,0))),INDEX('Préstamos'!$D$2:$D$101,MATCH($A182,'Préstamos'!$A$2:$A$101,0))-INDEX('Préstamos'!$J$2:$J$101,MATCH($A182,'Préstamos'!$A$2:$A$101,0))*(INDEX('Préstamos'!$G$2:$G$101,MATCH($A182,'Préstamos'!$A$2:$A$101,0))-1),INDEX('Préstamos'!$J$2:$J$101,MATCH($A182,'Préstamos'!$A$2:$A$101,0)))))</f>
        <v/>
      </c>
      <c r="G182" s="29">
        <f>IF($A182="","",IF(AND(D182&lt;&gt;"Solo interés",C182=INDEX('Préstamos'!$G$2:$G$101,MATCH($A182,'Préstamos'!$A$2:$A$101,0))),INDEX('Préstamos'!$I$2:$I$101,MATCH($A182,'Préstamos'!$A$2:$A$101,0))-INDEX('Préstamos'!$K$2:$K$101,MATCH($A182,'Préstamos'!$A$2:$A$101,0))*(INDEX('Préstamos'!$G$2:$G$101,MATCH($A182,'Préstamos'!$A$2:$A$101,0))-1),INDEX('Préstamos'!$K$2:$K$101,MATCH($A182,'Préstamos'!$A$2:$A$101,0))))</f>
        <v/>
      </c>
      <c r="H182" s="29">
        <f>IF($A182="","",F182+G182)</f>
        <v/>
      </c>
      <c r="I182" s="14" t="n"/>
      <c r="J182" s="33" t="n"/>
      <c r="K182" s="16">
        <f>IF(OR($A182="",I182="Pagado"),"",MAX(0,TODAY()-E182))</f>
        <v/>
      </c>
      <c r="L182" s="16">
        <f>IF($A182="","",IF(I182="Pagado","Pagado",IF(E182&lt;TODAY(),"Atrasado",IF(E182&lt;=EOMONTH(TODAY(),0),"Este mes","Pendiente"))))</f>
        <v/>
      </c>
      <c r="M182" s="20">
        <f>IF(OR($A182="",I182="Pagado"),"",HYPERLINK("https://wa.me/"&amp;IF(INDEX('Préstamos'!$C$2:$C$101,MATCH($A182,'Préstamos'!$A$2:$A$101,0))="","","51"&amp;SUBSTITUTE(INDEX('Préstamos'!$C$2:$C$101,MATCH($A182,'Préstamos'!$A$2:$A$101,0))," ",""))&amp;"?text="&amp;SUBSTITUTE("Hola "&amp;B182&amp;", te recuerdo que tu cuota de S/ "&amp;H182&amp;IF(E182&lt;TODAY()," vencio el "," vence el ")&amp;TEXT(E182,"dd/mm")&amp;". Gracias!"," ","%20"),"WhatsApp"))</f>
        <v/>
      </c>
    </row>
    <row r="183">
      <c r="A183" s="14" t="n"/>
      <c r="B183" s="16">
        <f>IF($A183="","",INDEX('Préstamos'!$B$2:$B$101,MATCH($A183,'Préstamos'!$A$2:$A$101,0)))</f>
        <v/>
      </c>
      <c r="C183" s="14" t="n"/>
      <c r="D183" s="14" t="n"/>
      <c r="E183" s="33" t="n"/>
      <c r="F183" s="29">
        <f>IF($A183="","",IF(D183="Solo interés",0,IF(AND(D183&lt;&gt;"Solo interés",C183=INDEX('Préstamos'!$G$2:$G$101,MATCH($A183,'Préstamos'!$A$2:$A$101,0))),INDEX('Préstamos'!$D$2:$D$101,MATCH($A183,'Préstamos'!$A$2:$A$101,0))-INDEX('Préstamos'!$J$2:$J$101,MATCH($A183,'Préstamos'!$A$2:$A$101,0))*(INDEX('Préstamos'!$G$2:$G$101,MATCH($A183,'Préstamos'!$A$2:$A$101,0))-1),INDEX('Préstamos'!$J$2:$J$101,MATCH($A183,'Préstamos'!$A$2:$A$101,0)))))</f>
        <v/>
      </c>
      <c r="G183" s="29">
        <f>IF($A183="","",IF(AND(D183&lt;&gt;"Solo interés",C183=INDEX('Préstamos'!$G$2:$G$101,MATCH($A183,'Préstamos'!$A$2:$A$101,0))),INDEX('Préstamos'!$I$2:$I$101,MATCH($A183,'Préstamos'!$A$2:$A$101,0))-INDEX('Préstamos'!$K$2:$K$101,MATCH($A183,'Préstamos'!$A$2:$A$101,0))*(INDEX('Préstamos'!$G$2:$G$101,MATCH($A183,'Préstamos'!$A$2:$A$101,0))-1),INDEX('Préstamos'!$K$2:$K$101,MATCH($A183,'Préstamos'!$A$2:$A$101,0))))</f>
        <v/>
      </c>
      <c r="H183" s="29">
        <f>IF($A183="","",F183+G183)</f>
        <v/>
      </c>
      <c r="I183" s="14" t="n"/>
      <c r="J183" s="33" t="n"/>
      <c r="K183" s="16">
        <f>IF(OR($A183="",I183="Pagado"),"",MAX(0,TODAY()-E183))</f>
        <v/>
      </c>
      <c r="L183" s="16">
        <f>IF($A183="","",IF(I183="Pagado","Pagado",IF(E183&lt;TODAY(),"Atrasado",IF(E183&lt;=EOMONTH(TODAY(),0),"Este mes","Pendiente"))))</f>
        <v/>
      </c>
      <c r="M183" s="20">
        <f>IF(OR($A183="",I183="Pagado"),"",HYPERLINK("https://wa.me/"&amp;IF(INDEX('Préstamos'!$C$2:$C$101,MATCH($A183,'Préstamos'!$A$2:$A$101,0))="","","51"&amp;SUBSTITUTE(INDEX('Préstamos'!$C$2:$C$101,MATCH($A183,'Préstamos'!$A$2:$A$101,0))," ",""))&amp;"?text="&amp;SUBSTITUTE("Hola "&amp;B183&amp;", te recuerdo que tu cuota de S/ "&amp;H183&amp;IF(E183&lt;TODAY()," vencio el "," vence el ")&amp;TEXT(E183,"dd/mm")&amp;". Gracias!"," ","%20"),"WhatsApp"))</f>
        <v/>
      </c>
    </row>
    <row r="184">
      <c r="A184" s="14" t="n"/>
      <c r="B184" s="16">
        <f>IF($A184="","",INDEX('Préstamos'!$B$2:$B$101,MATCH($A184,'Préstamos'!$A$2:$A$101,0)))</f>
        <v/>
      </c>
      <c r="C184" s="14" t="n"/>
      <c r="D184" s="14" t="n"/>
      <c r="E184" s="33" t="n"/>
      <c r="F184" s="29">
        <f>IF($A184="","",IF(D184="Solo interés",0,IF(AND(D184&lt;&gt;"Solo interés",C184=INDEX('Préstamos'!$G$2:$G$101,MATCH($A184,'Préstamos'!$A$2:$A$101,0))),INDEX('Préstamos'!$D$2:$D$101,MATCH($A184,'Préstamos'!$A$2:$A$101,0))-INDEX('Préstamos'!$J$2:$J$101,MATCH($A184,'Préstamos'!$A$2:$A$101,0))*(INDEX('Préstamos'!$G$2:$G$101,MATCH($A184,'Préstamos'!$A$2:$A$101,0))-1),INDEX('Préstamos'!$J$2:$J$101,MATCH($A184,'Préstamos'!$A$2:$A$101,0)))))</f>
        <v/>
      </c>
      <c r="G184" s="29">
        <f>IF($A184="","",IF(AND(D184&lt;&gt;"Solo interés",C184=INDEX('Préstamos'!$G$2:$G$101,MATCH($A184,'Préstamos'!$A$2:$A$101,0))),INDEX('Préstamos'!$I$2:$I$101,MATCH($A184,'Préstamos'!$A$2:$A$101,0))-INDEX('Préstamos'!$K$2:$K$101,MATCH($A184,'Préstamos'!$A$2:$A$101,0))*(INDEX('Préstamos'!$G$2:$G$101,MATCH($A184,'Préstamos'!$A$2:$A$101,0))-1),INDEX('Préstamos'!$K$2:$K$101,MATCH($A184,'Préstamos'!$A$2:$A$101,0))))</f>
        <v/>
      </c>
      <c r="H184" s="29">
        <f>IF($A184="","",F184+G184)</f>
        <v/>
      </c>
      <c r="I184" s="14" t="n"/>
      <c r="J184" s="33" t="n"/>
      <c r="K184" s="16">
        <f>IF(OR($A184="",I184="Pagado"),"",MAX(0,TODAY()-E184))</f>
        <v/>
      </c>
      <c r="L184" s="16">
        <f>IF($A184="","",IF(I184="Pagado","Pagado",IF(E184&lt;TODAY(),"Atrasado",IF(E184&lt;=EOMONTH(TODAY(),0),"Este mes","Pendiente"))))</f>
        <v/>
      </c>
      <c r="M184" s="20">
        <f>IF(OR($A184="",I184="Pagado"),"",HYPERLINK("https://wa.me/"&amp;IF(INDEX('Préstamos'!$C$2:$C$101,MATCH($A184,'Préstamos'!$A$2:$A$101,0))="","","51"&amp;SUBSTITUTE(INDEX('Préstamos'!$C$2:$C$101,MATCH($A184,'Préstamos'!$A$2:$A$101,0))," ",""))&amp;"?text="&amp;SUBSTITUTE("Hola "&amp;B184&amp;", te recuerdo que tu cuota de S/ "&amp;H184&amp;IF(E184&lt;TODAY()," vencio el "," vence el ")&amp;TEXT(E184,"dd/mm")&amp;". Gracias!"," ","%20"),"WhatsApp"))</f>
        <v/>
      </c>
    </row>
    <row r="185">
      <c r="A185" s="14" t="n"/>
      <c r="B185" s="16">
        <f>IF($A185="","",INDEX('Préstamos'!$B$2:$B$101,MATCH($A185,'Préstamos'!$A$2:$A$101,0)))</f>
        <v/>
      </c>
      <c r="C185" s="14" t="n"/>
      <c r="D185" s="14" t="n"/>
      <c r="E185" s="33" t="n"/>
      <c r="F185" s="29">
        <f>IF($A185="","",IF(D185="Solo interés",0,IF(AND(D185&lt;&gt;"Solo interés",C185=INDEX('Préstamos'!$G$2:$G$101,MATCH($A185,'Préstamos'!$A$2:$A$101,0))),INDEX('Préstamos'!$D$2:$D$101,MATCH($A185,'Préstamos'!$A$2:$A$101,0))-INDEX('Préstamos'!$J$2:$J$101,MATCH($A185,'Préstamos'!$A$2:$A$101,0))*(INDEX('Préstamos'!$G$2:$G$101,MATCH($A185,'Préstamos'!$A$2:$A$101,0))-1),INDEX('Préstamos'!$J$2:$J$101,MATCH($A185,'Préstamos'!$A$2:$A$101,0)))))</f>
        <v/>
      </c>
      <c r="G185" s="29">
        <f>IF($A185="","",IF(AND(D185&lt;&gt;"Solo interés",C185=INDEX('Préstamos'!$G$2:$G$101,MATCH($A185,'Préstamos'!$A$2:$A$101,0))),INDEX('Préstamos'!$I$2:$I$101,MATCH($A185,'Préstamos'!$A$2:$A$101,0))-INDEX('Préstamos'!$K$2:$K$101,MATCH($A185,'Préstamos'!$A$2:$A$101,0))*(INDEX('Préstamos'!$G$2:$G$101,MATCH($A185,'Préstamos'!$A$2:$A$101,0))-1),INDEX('Préstamos'!$K$2:$K$101,MATCH($A185,'Préstamos'!$A$2:$A$101,0))))</f>
        <v/>
      </c>
      <c r="H185" s="29">
        <f>IF($A185="","",F185+G185)</f>
        <v/>
      </c>
      <c r="I185" s="14" t="n"/>
      <c r="J185" s="33" t="n"/>
      <c r="K185" s="16">
        <f>IF(OR($A185="",I185="Pagado"),"",MAX(0,TODAY()-E185))</f>
        <v/>
      </c>
      <c r="L185" s="16">
        <f>IF($A185="","",IF(I185="Pagado","Pagado",IF(E185&lt;TODAY(),"Atrasado",IF(E185&lt;=EOMONTH(TODAY(),0),"Este mes","Pendiente"))))</f>
        <v/>
      </c>
      <c r="M185" s="20">
        <f>IF(OR($A185="",I185="Pagado"),"",HYPERLINK("https://wa.me/"&amp;IF(INDEX('Préstamos'!$C$2:$C$101,MATCH($A185,'Préstamos'!$A$2:$A$101,0))="","","51"&amp;SUBSTITUTE(INDEX('Préstamos'!$C$2:$C$101,MATCH($A185,'Préstamos'!$A$2:$A$101,0))," ",""))&amp;"?text="&amp;SUBSTITUTE("Hola "&amp;B185&amp;", te recuerdo que tu cuota de S/ "&amp;H185&amp;IF(E185&lt;TODAY()," vencio el "," vence el ")&amp;TEXT(E185,"dd/mm")&amp;". Gracias!"," ","%20"),"WhatsApp"))</f>
        <v/>
      </c>
    </row>
    <row r="186">
      <c r="A186" s="14" t="n"/>
      <c r="B186" s="16">
        <f>IF($A186="","",INDEX('Préstamos'!$B$2:$B$101,MATCH($A186,'Préstamos'!$A$2:$A$101,0)))</f>
        <v/>
      </c>
      <c r="C186" s="14" t="n"/>
      <c r="D186" s="14" t="n"/>
      <c r="E186" s="33" t="n"/>
      <c r="F186" s="29">
        <f>IF($A186="","",IF(D186="Solo interés",0,IF(AND(D186&lt;&gt;"Solo interés",C186=INDEX('Préstamos'!$G$2:$G$101,MATCH($A186,'Préstamos'!$A$2:$A$101,0))),INDEX('Préstamos'!$D$2:$D$101,MATCH($A186,'Préstamos'!$A$2:$A$101,0))-INDEX('Préstamos'!$J$2:$J$101,MATCH($A186,'Préstamos'!$A$2:$A$101,0))*(INDEX('Préstamos'!$G$2:$G$101,MATCH($A186,'Préstamos'!$A$2:$A$101,0))-1),INDEX('Préstamos'!$J$2:$J$101,MATCH($A186,'Préstamos'!$A$2:$A$101,0)))))</f>
        <v/>
      </c>
      <c r="G186" s="29">
        <f>IF($A186="","",IF(AND(D186&lt;&gt;"Solo interés",C186=INDEX('Préstamos'!$G$2:$G$101,MATCH($A186,'Préstamos'!$A$2:$A$101,0))),INDEX('Préstamos'!$I$2:$I$101,MATCH($A186,'Préstamos'!$A$2:$A$101,0))-INDEX('Préstamos'!$K$2:$K$101,MATCH($A186,'Préstamos'!$A$2:$A$101,0))*(INDEX('Préstamos'!$G$2:$G$101,MATCH($A186,'Préstamos'!$A$2:$A$101,0))-1),INDEX('Préstamos'!$K$2:$K$101,MATCH($A186,'Préstamos'!$A$2:$A$101,0))))</f>
        <v/>
      </c>
      <c r="H186" s="29">
        <f>IF($A186="","",F186+G186)</f>
        <v/>
      </c>
      <c r="I186" s="14" t="n"/>
      <c r="J186" s="33" t="n"/>
      <c r="K186" s="16">
        <f>IF(OR($A186="",I186="Pagado"),"",MAX(0,TODAY()-E186))</f>
        <v/>
      </c>
      <c r="L186" s="16">
        <f>IF($A186="","",IF(I186="Pagado","Pagado",IF(E186&lt;TODAY(),"Atrasado",IF(E186&lt;=EOMONTH(TODAY(),0),"Este mes","Pendiente"))))</f>
        <v/>
      </c>
      <c r="M186" s="20">
        <f>IF(OR($A186="",I186="Pagado"),"",HYPERLINK("https://wa.me/"&amp;IF(INDEX('Préstamos'!$C$2:$C$101,MATCH($A186,'Préstamos'!$A$2:$A$101,0))="","","51"&amp;SUBSTITUTE(INDEX('Préstamos'!$C$2:$C$101,MATCH($A186,'Préstamos'!$A$2:$A$101,0))," ",""))&amp;"?text="&amp;SUBSTITUTE("Hola "&amp;B186&amp;", te recuerdo que tu cuota de S/ "&amp;H186&amp;IF(E186&lt;TODAY()," vencio el "," vence el ")&amp;TEXT(E186,"dd/mm")&amp;". Gracias!"," ","%20"),"WhatsApp"))</f>
        <v/>
      </c>
    </row>
    <row r="187">
      <c r="A187" s="14" t="n"/>
      <c r="B187" s="16">
        <f>IF($A187="","",INDEX('Préstamos'!$B$2:$B$101,MATCH($A187,'Préstamos'!$A$2:$A$101,0)))</f>
        <v/>
      </c>
      <c r="C187" s="14" t="n"/>
      <c r="D187" s="14" t="n"/>
      <c r="E187" s="33" t="n"/>
      <c r="F187" s="29">
        <f>IF($A187="","",IF(D187="Solo interés",0,IF(AND(D187&lt;&gt;"Solo interés",C187=INDEX('Préstamos'!$G$2:$G$101,MATCH($A187,'Préstamos'!$A$2:$A$101,0))),INDEX('Préstamos'!$D$2:$D$101,MATCH($A187,'Préstamos'!$A$2:$A$101,0))-INDEX('Préstamos'!$J$2:$J$101,MATCH($A187,'Préstamos'!$A$2:$A$101,0))*(INDEX('Préstamos'!$G$2:$G$101,MATCH($A187,'Préstamos'!$A$2:$A$101,0))-1),INDEX('Préstamos'!$J$2:$J$101,MATCH($A187,'Préstamos'!$A$2:$A$101,0)))))</f>
        <v/>
      </c>
      <c r="G187" s="29">
        <f>IF($A187="","",IF(AND(D187&lt;&gt;"Solo interés",C187=INDEX('Préstamos'!$G$2:$G$101,MATCH($A187,'Préstamos'!$A$2:$A$101,0))),INDEX('Préstamos'!$I$2:$I$101,MATCH($A187,'Préstamos'!$A$2:$A$101,0))-INDEX('Préstamos'!$K$2:$K$101,MATCH($A187,'Préstamos'!$A$2:$A$101,0))*(INDEX('Préstamos'!$G$2:$G$101,MATCH($A187,'Préstamos'!$A$2:$A$101,0))-1),INDEX('Préstamos'!$K$2:$K$101,MATCH($A187,'Préstamos'!$A$2:$A$101,0))))</f>
        <v/>
      </c>
      <c r="H187" s="29">
        <f>IF($A187="","",F187+G187)</f>
        <v/>
      </c>
      <c r="I187" s="14" t="n"/>
      <c r="J187" s="33" t="n"/>
      <c r="K187" s="16">
        <f>IF(OR($A187="",I187="Pagado"),"",MAX(0,TODAY()-E187))</f>
        <v/>
      </c>
      <c r="L187" s="16">
        <f>IF($A187="","",IF(I187="Pagado","Pagado",IF(E187&lt;TODAY(),"Atrasado",IF(E187&lt;=EOMONTH(TODAY(),0),"Este mes","Pendiente"))))</f>
        <v/>
      </c>
      <c r="M187" s="20">
        <f>IF(OR($A187="",I187="Pagado"),"",HYPERLINK("https://wa.me/"&amp;IF(INDEX('Préstamos'!$C$2:$C$101,MATCH($A187,'Préstamos'!$A$2:$A$101,0))="","","51"&amp;SUBSTITUTE(INDEX('Préstamos'!$C$2:$C$101,MATCH($A187,'Préstamos'!$A$2:$A$101,0))," ",""))&amp;"?text="&amp;SUBSTITUTE("Hola "&amp;B187&amp;", te recuerdo que tu cuota de S/ "&amp;H187&amp;IF(E187&lt;TODAY()," vencio el "," vence el ")&amp;TEXT(E187,"dd/mm")&amp;". Gracias!"," ","%20"),"WhatsApp"))</f>
        <v/>
      </c>
    </row>
    <row r="188">
      <c r="A188" s="14" t="n"/>
      <c r="B188" s="16">
        <f>IF($A188="","",INDEX('Préstamos'!$B$2:$B$101,MATCH($A188,'Préstamos'!$A$2:$A$101,0)))</f>
        <v/>
      </c>
      <c r="C188" s="14" t="n"/>
      <c r="D188" s="14" t="n"/>
      <c r="E188" s="33" t="n"/>
      <c r="F188" s="29">
        <f>IF($A188="","",IF(D188="Solo interés",0,IF(AND(D188&lt;&gt;"Solo interés",C188=INDEX('Préstamos'!$G$2:$G$101,MATCH($A188,'Préstamos'!$A$2:$A$101,0))),INDEX('Préstamos'!$D$2:$D$101,MATCH($A188,'Préstamos'!$A$2:$A$101,0))-INDEX('Préstamos'!$J$2:$J$101,MATCH($A188,'Préstamos'!$A$2:$A$101,0))*(INDEX('Préstamos'!$G$2:$G$101,MATCH($A188,'Préstamos'!$A$2:$A$101,0))-1),INDEX('Préstamos'!$J$2:$J$101,MATCH($A188,'Préstamos'!$A$2:$A$101,0)))))</f>
        <v/>
      </c>
      <c r="G188" s="29">
        <f>IF($A188="","",IF(AND(D188&lt;&gt;"Solo interés",C188=INDEX('Préstamos'!$G$2:$G$101,MATCH($A188,'Préstamos'!$A$2:$A$101,0))),INDEX('Préstamos'!$I$2:$I$101,MATCH($A188,'Préstamos'!$A$2:$A$101,0))-INDEX('Préstamos'!$K$2:$K$101,MATCH($A188,'Préstamos'!$A$2:$A$101,0))*(INDEX('Préstamos'!$G$2:$G$101,MATCH($A188,'Préstamos'!$A$2:$A$101,0))-1),INDEX('Préstamos'!$K$2:$K$101,MATCH($A188,'Préstamos'!$A$2:$A$101,0))))</f>
        <v/>
      </c>
      <c r="H188" s="29">
        <f>IF($A188="","",F188+G188)</f>
        <v/>
      </c>
      <c r="I188" s="14" t="n"/>
      <c r="J188" s="33" t="n"/>
      <c r="K188" s="16">
        <f>IF(OR($A188="",I188="Pagado"),"",MAX(0,TODAY()-E188))</f>
        <v/>
      </c>
      <c r="L188" s="16">
        <f>IF($A188="","",IF(I188="Pagado","Pagado",IF(E188&lt;TODAY(),"Atrasado",IF(E188&lt;=EOMONTH(TODAY(),0),"Este mes","Pendiente"))))</f>
        <v/>
      </c>
      <c r="M188" s="20">
        <f>IF(OR($A188="",I188="Pagado"),"",HYPERLINK("https://wa.me/"&amp;IF(INDEX('Préstamos'!$C$2:$C$101,MATCH($A188,'Préstamos'!$A$2:$A$101,0))="","","51"&amp;SUBSTITUTE(INDEX('Préstamos'!$C$2:$C$101,MATCH($A188,'Préstamos'!$A$2:$A$101,0))," ",""))&amp;"?text="&amp;SUBSTITUTE("Hola "&amp;B188&amp;", te recuerdo que tu cuota de S/ "&amp;H188&amp;IF(E188&lt;TODAY()," vencio el "," vence el ")&amp;TEXT(E188,"dd/mm")&amp;". Gracias!"," ","%20"),"WhatsApp"))</f>
        <v/>
      </c>
    </row>
    <row r="189">
      <c r="A189" s="14" t="n"/>
      <c r="B189" s="16">
        <f>IF($A189="","",INDEX('Préstamos'!$B$2:$B$101,MATCH($A189,'Préstamos'!$A$2:$A$101,0)))</f>
        <v/>
      </c>
      <c r="C189" s="14" t="n"/>
      <c r="D189" s="14" t="n"/>
      <c r="E189" s="33" t="n"/>
      <c r="F189" s="29">
        <f>IF($A189="","",IF(D189="Solo interés",0,IF(AND(D189&lt;&gt;"Solo interés",C189=INDEX('Préstamos'!$G$2:$G$101,MATCH($A189,'Préstamos'!$A$2:$A$101,0))),INDEX('Préstamos'!$D$2:$D$101,MATCH($A189,'Préstamos'!$A$2:$A$101,0))-INDEX('Préstamos'!$J$2:$J$101,MATCH($A189,'Préstamos'!$A$2:$A$101,0))*(INDEX('Préstamos'!$G$2:$G$101,MATCH($A189,'Préstamos'!$A$2:$A$101,0))-1),INDEX('Préstamos'!$J$2:$J$101,MATCH($A189,'Préstamos'!$A$2:$A$101,0)))))</f>
        <v/>
      </c>
      <c r="G189" s="29">
        <f>IF($A189="","",IF(AND(D189&lt;&gt;"Solo interés",C189=INDEX('Préstamos'!$G$2:$G$101,MATCH($A189,'Préstamos'!$A$2:$A$101,0))),INDEX('Préstamos'!$I$2:$I$101,MATCH($A189,'Préstamos'!$A$2:$A$101,0))-INDEX('Préstamos'!$K$2:$K$101,MATCH($A189,'Préstamos'!$A$2:$A$101,0))*(INDEX('Préstamos'!$G$2:$G$101,MATCH($A189,'Préstamos'!$A$2:$A$101,0))-1),INDEX('Préstamos'!$K$2:$K$101,MATCH($A189,'Préstamos'!$A$2:$A$101,0))))</f>
        <v/>
      </c>
      <c r="H189" s="29">
        <f>IF($A189="","",F189+G189)</f>
        <v/>
      </c>
      <c r="I189" s="14" t="n"/>
      <c r="J189" s="33" t="n"/>
      <c r="K189" s="16">
        <f>IF(OR($A189="",I189="Pagado"),"",MAX(0,TODAY()-E189))</f>
        <v/>
      </c>
      <c r="L189" s="16">
        <f>IF($A189="","",IF(I189="Pagado","Pagado",IF(E189&lt;TODAY(),"Atrasado",IF(E189&lt;=EOMONTH(TODAY(),0),"Este mes","Pendiente"))))</f>
        <v/>
      </c>
      <c r="M189" s="20">
        <f>IF(OR($A189="",I189="Pagado"),"",HYPERLINK("https://wa.me/"&amp;IF(INDEX('Préstamos'!$C$2:$C$101,MATCH($A189,'Préstamos'!$A$2:$A$101,0))="","","51"&amp;SUBSTITUTE(INDEX('Préstamos'!$C$2:$C$101,MATCH($A189,'Préstamos'!$A$2:$A$101,0))," ",""))&amp;"?text="&amp;SUBSTITUTE("Hola "&amp;B189&amp;", te recuerdo que tu cuota de S/ "&amp;H189&amp;IF(E189&lt;TODAY()," vencio el "," vence el ")&amp;TEXT(E189,"dd/mm")&amp;". Gracias!"," ","%20"),"WhatsApp"))</f>
        <v/>
      </c>
    </row>
    <row r="190">
      <c r="A190" s="14" t="n"/>
      <c r="B190" s="16">
        <f>IF($A190="","",INDEX('Préstamos'!$B$2:$B$101,MATCH($A190,'Préstamos'!$A$2:$A$101,0)))</f>
        <v/>
      </c>
      <c r="C190" s="14" t="n"/>
      <c r="D190" s="14" t="n"/>
      <c r="E190" s="33" t="n"/>
      <c r="F190" s="29">
        <f>IF($A190="","",IF(D190="Solo interés",0,IF(AND(D190&lt;&gt;"Solo interés",C190=INDEX('Préstamos'!$G$2:$G$101,MATCH($A190,'Préstamos'!$A$2:$A$101,0))),INDEX('Préstamos'!$D$2:$D$101,MATCH($A190,'Préstamos'!$A$2:$A$101,0))-INDEX('Préstamos'!$J$2:$J$101,MATCH($A190,'Préstamos'!$A$2:$A$101,0))*(INDEX('Préstamos'!$G$2:$G$101,MATCH($A190,'Préstamos'!$A$2:$A$101,0))-1),INDEX('Préstamos'!$J$2:$J$101,MATCH($A190,'Préstamos'!$A$2:$A$101,0)))))</f>
        <v/>
      </c>
      <c r="G190" s="29">
        <f>IF($A190="","",IF(AND(D190&lt;&gt;"Solo interés",C190=INDEX('Préstamos'!$G$2:$G$101,MATCH($A190,'Préstamos'!$A$2:$A$101,0))),INDEX('Préstamos'!$I$2:$I$101,MATCH($A190,'Préstamos'!$A$2:$A$101,0))-INDEX('Préstamos'!$K$2:$K$101,MATCH($A190,'Préstamos'!$A$2:$A$101,0))*(INDEX('Préstamos'!$G$2:$G$101,MATCH($A190,'Préstamos'!$A$2:$A$101,0))-1),INDEX('Préstamos'!$K$2:$K$101,MATCH($A190,'Préstamos'!$A$2:$A$101,0))))</f>
        <v/>
      </c>
      <c r="H190" s="29">
        <f>IF($A190="","",F190+G190)</f>
        <v/>
      </c>
      <c r="I190" s="14" t="n"/>
      <c r="J190" s="33" t="n"/>
      <c r="K190" s="16">
        <f>IF(OR($A190="",I190="Pagado"),"",MAX(0,TODAY()-E190))</f>
        <v/>
      </c>
      <c r="L190" s="16">
        <f>IF($A190="","",IF(I190="Pagado","Pagado",IF(E190&lt;TODAY(),"Atrasado",IF(E190&lt;=EOMONTH(TODAY(),0),"Este mes","Pendiente"))))</f>
        <v/>
      </c>
      <c r="M190" s="20">
        <f>IF(OR($A190="",I190="Pagado"),"",HYPERLINK("https://wa.me/"&amp;IF(INDEX('Préstamos'!$C$2:$C$101,MATCH($A190,'Préstamos'!$A$2:$A$101,0))="","","51"&amp;SUBSTITUTE(INDEX('Préstamos'!$C$2:$C$101,MATCH($A190,'Préstamos'!$A$2:$A$101,0))," ",""))&amp;"?text="&amp;SUBSTITUTE("Hola "&amp;B190&amp;", te recuerdo que tu cuota de S/ "&amp;H190&amp;IF(E190&lt;TODAY()," vencio el "," vence el ")&amp;TEXT(E190,"dd/mm")&amp;". Gracias!"," ","%20"),"WhatsApp"))</f>
        <v/>
      </c>
    </row>
    <row r="191">
      <c r="A191" s="14" t="n"/>
      <c r="B191" s="16">
        <f>IF($A191="","",INDEX('Préstamos'!$B$2:$B$101,MATCH($A191,'Préstamos'!$A$2:$A$101,0)))</f>
        <v/>
      </c>
      <c r="C191" s="14" t="n"/>
      <c r="D191" s="14" t="n"/>
      <c r="E191" s="33" t="n"/>
      <c r="F191" s="29">
        <f>IF($A191="","",IF(D191="Solo interés",0,IF(AND(D191&lt;&gt;"Solo interés",C191=INDEX('Préstamos'!$G$2:$G$101,MATCH($A191,'Préstamos'!$A$2:$A$101,0))),INDEX('Préstamos'!$D$2:$D$101,MATCH($A191,'Préstamos'!$A$2:$A$101,0))-INDEX('Préstamos'!$J$2:$J$101,MATCH($A191,'Préstamos'!$A$2:$A$101,0))*(INDEX('Préstamos'!$G$2:$G$101,MATCH($A191,'Préstamos'!$A$2:$A$101,0))-1),INDEX('Préstamos'!$J$2:$J$101,MATCH($A191,'Préstamos'!$A$2:$A$101,0)))))</f>
        <v/>
      </c>
      <c r="G191" s="29">
        <f>IF($A191="","",IF(AND(D191&lt;&gt;"Solo interés",C191=INDEX('Préstamos'!$G$2:$G$101,MATCH($A191,'Préstamos'!$A$2:$A$101,0))),INDEX('Préstamos'!$I$2:$I$101,MATCH($A191,'Préstamos'!$A$2:$A$101,0))-INDEX('Préstamos'!$K$2:$K$101,MATCH($A191,'Préstamos'!$A$2:$A$101,0))*(INDEX('Préstamos'!$G$2:$G$101,MATCH($A191,'Préstamos'!$A$2:$A$101,0))-1),INDEX('Préstamos'!$K$2:$K$101,MATCH($A191,'Préstamos'!$A$2:$A$101,0))))</f>
        <v/>
      </c>
      <c r="H191" s="29">
        <f>IF($A191="","",F191+G191)</f>
        <v/>
      </c>
      <c r="I191" s="14" t="n"/>
      <c r="J191" s="33" t="n"/>
      <c r="K191" s="16">
        <f>IF(OR($A191="",I191="Pagado"),"",MAX(0,TODAY()-E191))</f>
        <v/>
      </c>
      <c r="L191" s="16">
        <f>IF($A191="","",IF(I191="Pagado","Pagado",IF(E191&lt;TODAY(),"Atrasado",IF(E191&lt;=EOMONTH(TODAY(),0),"Este mes","Pendiente"))))</f>
        <v/>
      </c>
      <c r="M191" s="20">
        <f>IF(OR($A191="",I191="Pagado"),"",HYPERLINK("https://wa.me/"&amp;IF(INDEX('Préstamos'!$C$2:$C$101,MATCH($A191,'Préstamos'!$A$2:$A$101,0))="","","51"&amp;SUBSTITUTE(INDEX('Préstamos'!$C$2:$C$101,MATCH($A191,'Préstamos'!$A$2:$A$101,0))," ",""))&amp;"?text="&amp;SUBSTITUTE("Hola "&amp;B191&amp;", te recuerdo que tu cuota de S/ "&amp;H191&amp;IF(E191&lt;TODAY()," vencio el "," vence el ")&amp;TEXT(E191,"dd/mm")&amp;". Gracias!"," ","%20"),"WhatsApp"))</f>
        <v/>
      </c>
    </row>
    <row r="192">
      <c r="A192" s="14" t="n"/>
      <c r="B192" s="16">
        <f>IF($A192="","",INDEX('Préstamos'!$B$2:$B$101,MATCH($A192,'Préstamos'!$A$2:$A$101,0)))</f>
        <v/>
      </c>
      <c r="C192" s="14" t="n"/>
      <c r="D192" s="14" t="n"/>
      <c r="E192" s="33" t="n"/>
      <c r="F192" s="29">
        <f>IF($A192="","",IF(D192="Solo interés",0,IF(AND(D192&lt;&gt;"Solo interés",C192=INDEX('Préstamos'!$G$2:$G$101,MATCH($A192,'Préstamos'!$A$2:$A$101,0))),INDEX('Préstamos'!$D$2:$D$101,MATCH($A192,'Préstamos'!$A$2:$A$101,0))-INDEX('Préstamos'!$J$2:$J$101,MATCH($A192,'Préstamos'!$A$2:$A$101,0))*(INDEX('Préstamos'!$G$2:$G$101,MATCH($A192,'Préstamos'!$A$2:$A$101,0))-1),INDEX('Préstamos'!$J$2:$J$101,MATCH($A192,'Préstamos'!$A$2:$A$101,0)))))</f>
        <v/>
      </c>
      <c r="G192" s="29">
        <f>IF($A192="","",IF(AND(D192&lt;&gt;"Solo interés",C192=INDEX('Préstamos'!$G$2:$G$101,MATCH($A192,'Préstamos'!$A$2:$A$101,0))),INDEX('Préstamos'!$I$2:$I$101,MATCH($A192,'Préstamos'!$A$2:$A$101,0))-INDEX('Préstamos'!$K$2:$K$101,MATCH($A192,'Préstamos'!$A$2:$A$101,0))*(INDEX('Préstamos'!$G$2:$G$101,MATCH($A192,'Préstamos'!$A$2:$A$101,0))-1),INDEX('Préstamos'!$K$2:$K$101,MATCH($A192,'Préstamos'!$A$2:$A$101,0))))</f>
        <v/>
      </c>
      <c r="H192" s="29">
        <f>IF($A192="","",F192+G192)</f>
        <v/>
      </c>
      <c r="I192" s="14" t="n"/>
      <c r="J192" s="33" t="n"/>
      <c r="K192" s="16">
        <f>IF(OR($A192="",I192="Pagado"),"",MAX(0,TODAY()-E192))</f>
        <v/>
      </c>
      <c r="L192" s="16">
        <f>IF($A192="","",IF(I192="Pagado","Pagado",IF(E192&lt;TODAY(),"Atrasado",IF(E192&lt;=EOMONTH(TODAY(),0),"Este mes","Pendiente"))))</f>
        <v/>
      </c>
      <c r="M192" s="20">
        <f>IF(OR($A192="",I192="Pagado"),"",HYPERLINK("https://wa.me/"&amp;IF(INDEX('Préstamos'!$C$2:$C$101,MATCH($A192,'Préstamos'!$A$2:$A$101,0))="","","51"&amp;SUBSTITUTE(INDEX('Préstamos'!$C$2:$C$101,MATCH($A192,'Préstamos'!$A$2:$A$101,0))," ",""))&amp;"?text="&amp;SUBSTITUTE("Hola "&amp;B192&amp;", te recuerdo que tu cuota de S/ "&amp;H192&amp;IF(E192&lt;TODAY()," vencio el "," vence el ")&amp;TEXT(E192,"dd/mm")&amp;". Gracias!"," ","%20"),"WhatsApp"))</f>
        <v/>
      </c>
    </row>
    <row r="193">
      <c r="A193" s="14" t="n"/>
      <c r="B193" s="16">
        <f>IF($A193="","",INDEX('Préstamos'!$B$2:$B$101,MATCH($A193,'Préstamos'!$A$2:$A$101,0)))</f>
        <v/>
      </c>
      <c r="C193" s="14" t="n"/>
      <c r="D193" s="14" t="n"/>
      <c r="E193" s="33" t="n"/>
      <c r="F193" s="29">
        <f>IF($A193="","",IF(D193="Solo interés",0,IF(AND(D193&lt;&gt;"Solo interés",C193=INDEX('Préstamos'!$G$2:$G$101,MATCH($A193,'Préstamos'!$A$2:$A$101,0))),INDEX('Préstamos'!$D$2:$D$101,MATCH($A193,'Préstamos'!$A$2:$A$101,0))-INDEX('Préstamos'!$J$2:$J$101,MATCH($A193,'Préstamos'!$A$2:$A$101,0))*(INDEX('Préstamos'!$G$2:$G$101,MATCH($A193,'Préstamos'!$A$2:$A$101,0))-1),INDEX('Préstamos'!$J$2:$J$101,MATCH($A193,'Préstamos'!$A$2:$A$101,0)))))</f>
        <v/>
      </c>
      <c r="G193" s="29">
        <f>IF($A193="","",IF(AND(D193&lt;&gt;"Solo interés",C193=INDEX('Préstamos'!$G$2:$G$101,MATCH($A193,'Préstamos'!$A$2:$A$101,0))),INDEX('Préstamos'!$I$2:$I$101,MATCH($A193,'Préstamos'!$A$2:$A$101,0))-INDEX('Préstamos'!$K$2:$K$101,MATCH($A193,'Préstamos'!$A$2:$A$101,0))*(INDEX('Préstamos'!$G$2:$G$101,MATCH($A193,'Préstamos'!$A$2:$A$101,0))-1),INDEX('Préstamos'!$K$2:$K$101,MATCH($A193,'Préstamos'!$A$2:$A$101,0))))</f>
        <v/>
      </c>
      <c r="H193" s="29">
        <f>IF($A193="","",F193+G193)</f>
        <v/>
      </c>
      <c r="I193" s="14" t="n"/>
      <c r="J193" s="33" t="n"/>
      <c r="K193" s="16">
        <f>IF(OR($A193="",I193="Pagado"),"",MAX(0,TODAY()-E193))</f>
        <v/>
      </c>
      <c r="L193" s="16">
        <f>IF($A193="","",IF(I193="Pagado","Pagado",IF(E193&lt;TODAY(),"Atrasado",IF(E193&lt;=EOMONTH(TODAY(),0),"Este mes","Pendiente"))))</f>
        <v/>
      </c>
      <c r="M193" s="20">
        <f>IF(OR($A193="",I193="Pagado"),"",HYPERLINK("https://wa.me/"&amp;IF(INDEX('Préstamos'!$C$2:$C$101,MATCH($A193,'Préstamos'!$A$2:$A$101,0))="","","51"&amp;SUBSTITUTE(INDEX('Préstamos'!$C$2:$C$101,MATCH($A193,'Préstamos'!$A$2:$A$101,0))," ",""))&amp;"?text="&amp;SUBSTITUTE("Hola "&amp;B193&amp;", te recuerdo que tu cuota de S/ "&amp;H193&amp;IF(E193&lt;TODAY()," vencio el "," vence el ")&amp;TEXT(E193,"dd/mm")&amp;". Gracias!"," ","%20"),"WhatsApp"))</f>
        <v/>
      </c>
    </row>
    <row r="194">
      <c r="A194" s="14" t="n"/>
      <c r="B194" s="16">
        <f>IF($A194="","",INDEX('Préstamos'!$B$2:$B$101,MATCH($A194,'Préstamos'!$A$2:$A$101,0)))</f>
        <v/>
      </c>
      <c r="C194" s="14" t="n"/>
      <c r="D194" s="14" t="n"/>
      <c r="E194" s="33" t="n"/>
      <c r="F194" s="29">
        <f>IF($A194="","",IF(D194="Solo interés",0,IF(AND(D194&lt;&gt;"Solo interés",C194=INDEX('Préstamos'!$G$2:$G$101,MATCH($A194,'Préstamos'!$A$2:$A$101,0))),INDEX('Préstamos'!$D$2:$D$101,MATCH($A194,'Préstamos'!$A$2:$A$101,0))-INDEX('Préstamos'!$J$2:$J$101,MATCH($A194,'Préstamos'!$A$2:$A$101,0))*(INDEX('Préstamos'!$G$2:$G$101,MATCH($A194,'Préstamos'!$A$2:$A$101,0))-1),INDEX('Préstamos'!$J$2:$J$101,MATCH($A194,'Préstamos'!$A$2:$A$101,0)))))</f>
        <v/>
      </c>
      <c r="G194" s="29">
        <f>IF($A194="","",IF(AND(D194&lt;&gt;"Solo interés",C194=INDEX('Préstamos'!$G$2:$G$101,MATCH($A194,'Préstamos'!$A$2:$A$101,0))),INDEX('Préstamos'!$I$2:$I$101,MATCH($A194,'Préstamos'!$A$2:$A$101,0))-INDEX('Préstamos'!$K$2:$K$101,MATCH($A194,'Préstamos'!$A$2:$A$101,0))*(INDEX('Préstamos'!$G$2:$G$101,MATCH($A194,'Préstamos'!$A$2:$A$101,0))-1),INDEX('Préstamos'!$K$2:$K$101,MATCH($A194,'Préstamos'!$A$2:$A$101,0))))</f>
        <v/>
      </c>
      <c r="H194" s="29">
        <f>IF($A194="","",F194+G194)</f>
        <v/>
      </c>
      <c r="I194" s="14" t="n"/>
      <c r="J194" s="33" t="n"/>
      <c r="K194" s="16">
        <f>IF(OR($A194="",I194="Pagado"),"",MAX(0,TODAY()-E194))</f>
        <v/>
      </c>
      <c r="L194" s="16">
        <f>IF($A194="","",IF(I194="Pagado","Pagado",IF(E194&lt;TODAY(),"Atrasado",IF(E194&lt;=EOMONTH(TODAY(),0),"Este mes","Pendiente"))))</f>
        <v/>
      </c>
      <c r="M194" s="20">
        <f>IF(OR($A194="",I194="Pagado"),"",HYPERLINK("https://wa.me/"&amp;IF(INDEX('Préstamos'!$C$2:$C$101,MATCH($A194,'Préstamos'!$A$2:$A$101,0))="","","51"&amp;SUBSTITUTE(INDEX('Préstamos'!$C$2:$C$101,MATCH($A194,'Préstamos'!$A$2:$A$101,0))," ",""))&amp;"?text="&amp;SUBSTITUTE("Hola "&amp;B194&amp;", te recuerdo que tu cuota de S/ "&amp;H194&amp;IF(E194&lt;TODAY()," vencio el "," vence el ")&amp;TEXT(E194,"dd/mm")&amp;". Gracias!"," ","%20"),"WhatsApp"))</f>
        <v/>
      </c>
    </row>
    <row r="195">
      <c r="A195" s="14" t="n"/>
      <c r="B195" s="16">
        <f>IF($A195="","",INDEX('Préstamos'!$B$2:$B$101,MATCH($A195,'Préstamos'!$A$2:$A$101,0)))</f>
        <v/>
      </c>
      <c r="C195" s="14" t="n"/>
      <c r="D195" s="14" t="n"/>
      <c r="E195" s="33" t="n"/>
      <c r="F195" s="29">
        <f>IF($A195="","",IF(D195="Solo interés",0,IF(AND(D195&lt;&gt;"Solo interés",C195=INDEX('Préstamos'!$G$2:$G$101,MATCH($A195,'Préstamos'!$A$2:$A$101,0))),INDEX('Préstamos'!$D$2:$D$101,MATCH($A195,'Préstamos'!$A$2:$A$101,0))-INDEX('Préstamos'!$J$2:$J$101,MATCH($A195,'Préstamos'!$A$2:$A$101,0))*(INDEX('Préstamos'!$G$2:$G$101,MATCH($A195,'Préstamos'!$A$2:$A$101,0))-1),INDEX('Préstamos'!$J$2:$J$101,MATCH($A195,'Préstamos'!$A$2:$A$101,0)))))</f>
        <v/>
      </c>
      <c r="G195" s="29">
        <f>IF($A195="","",IF(AND(D195&lt;&gt;"Solo interés",C195=INDEX('Préstamos'!$G$2:$G$101,MATCH($A195,'Préstamos'!$A$2:$A$101,0))),INDEX('Préstamos'!$I$2:$I$101,MATCH($A195,'Préstamos'!$A$2:$A$101,0))-INDEX('Préstamos'!$K$2:$K$101,MATCH($A195,'Préstamos'!$A$2:$A$101,0))*(INDEX('Préstamos'!$G$2:$G$101,MATCH($A195,'Préstamos'!$A$2:$A$101,0))-1),INDEX('Préstamos'!$K$2:$K$101,MATCH($A195,'Préstamos'!$A$2:$A$101,0))))</f>
        <v/>
      </c>
      <c r="H195" s="29">
        <f>IF($A195="","",F195+G195)</f>
        <v/>
      </c>
      <c r="I195" s="14" t="n"/>
      <c r="J195" s="33" t="n"/>
      <c r="K195" s="16">
        <f>IF(OR($A195="",I195="Pagado"),"",MAX(0,TODAY()-E195))</f>
        <v/>
      </c>
      <c r="L195" s="16">
        <f>IF($A195="","",IF(I195="Pagado","Pagado",IF(E195&lt;TODAY(),"Atrasado",IF(E195&lt;=EOMONTH(TODAY(),0),"Este mes","Pendiente"))))</f>
        <v/>
      </c>
      <c r="M195" s="20">
        <f>IF(OR($A195="",I195="Pagado"),"",HYPERLINK("https://wa.me/"&amp;IF(INDEX('Préstamos'!$C$2:$C$101,MATCH($A195,'Préstamos'!$A$2:$A$101,0))="","","51"&amp;SUBSTITUTE(INDEX('Préstamos'!$C$2:$C$101,MATCH($A195,'Préstamos'!$A$2:$A$101,0))," ",""))&amp;"?text="&amp;SUBSTITUTE("Hola "&amp;B195&amp;", te recuerdo que tu cuota de S/ "&amp;H195&amp;IF(E195&lt;TODAY()," vencio el "," vence el ")&amp;TEXT(E195,"dd/mm")&amp;". Gracias!"," ","%20"),"WhatsApp"))</f>
        <v/>
      </c>
    </row>
    <row r="196">
      <c r="A196" s="14" t="n"/>
      <c r="B196" s="16">
        <f>IF($A196="","",INDEX('Préstamos'!$B$2:$B$101,MATCH($A196,'Préstamos'!$A$2:$A$101,0)))</f>
        <v/>
      </c>
      <c r="C196" s="14" t="n"/>
      <c r="D196" s="14" t="n"/>
      <c r="E196" s="33" t="n"/>
      <c r="F196" s="29">
        <f>IF($A196="","",IF(D196="Solo interés",0,IF(AND(D196&lt;&gt;"Solo interés",C196=INDEX('Préstamos'!$G$2:$G$101,MATCH($A196,'Préstamos'!$A$2:$A$101,0))),INDEX('Préstamos'!$D$2:$D$101,MATCH($A196,'Préstamos'!$A$2:$A$101,0))-INDEX('Préstamos'!$J$2:$J$101,MATCH($A196,'Préstamos'!$A$2:$A$101,0))*(INDEX('Préstamos'!$G$2:$G$101,MATCH($A196,'Préstamos'!$A$2:$A$101,0))-1),INDEX('Préstamos'!$J$2:$J$101,MATCH($A196,'Préstamos'!$A$2:$A$101,0)))))</f>
        <v/>
      </c>
      <c r="G196" s="29">
        <f>IF($A196="","",IF(AND(D196&lt;&gt;"Solo interés",C196=INDEX('Préstamos'!$G$2:$G$101,MATCH($A196,'Préstamos'!$A$2:$A$101,0))),INDEX('Préstamos'!$I$2:$I$101,MATCH($A196,'Préstamos'!$A$2:$A$101,0))-INDEX('Préstamos'!$K$2:$K$101,MATCH($A196,'Préstamos'!$A$2:$A$101,0))*(INDEX('Préstamos'!$G$2:$G$101,MATCH($A196,'Préstamos'!$A$2:$A$101,0))-1),INDEX('Préstamos'!$K$2:$K$101,MATCH($A196,'Préstamos'!$A$2:$A$101,0))))</f>
        <v/>
      </c>
      <c r="H196" s="29">
        <f>IF($A196="","",F196+G196)</f>
        <v/>
      </c>
      <c r="I196" s="14" t="n"/>
      <c r="J196" s="33" t="n"/>
      <c r="K196" s="16">
        <f>IF(OR($A196="",I196="Pagado"),"",MAX(0,TODAY()-E196))</f>
        <v/>
      </c>
      <c r="L196" s="16">
        <f>IF($A196="","",IF(I196="Pagado","Pagado",IF(E196&lt;TODAY(),"Atrasado",IF(E196&lt;=EOMONTH(TODAY(),0),"Este mes","Pendiente"))))</f>
        <v/>
      </c>
      <c r="M196" s="20">
        <f>IF(OR($A196="",I196="Pagado"),"",HYPERLINK("https://wa.me/"&amp;IF(INDEX('Préstamos'!$C$2:$C$101,MATCH($A196,'Préstamos'!$A$2:$A$101,0))="","","51"&amp;SUBSTITUTE(INDEX('Préstamos'!$C$2:$C$101,MATCH($A196,'Préstamos'!$A$2:$A$101,0))," ",""))&amp;"?text="&amp;SUBSTITUTE("Hola "&amp;B196&amp;", te recuerdo que tu cuota de S/ "&amp;H196&amp;IF(E196&lt;TODAY()," vencio el "," vence el ")&amp;TEXT(E196,"dd/mm")&amp;". Gracias!"," ","%20"),"WhatsApp"))</f>
        <v/>
      </c>
    </row>
    <row r="197">
      <c r="A197" s="14" t="n"/>
      <c r="B197" s="16">
        <f>IF($A197="","",INDEX('Préstamos'!$B$2:$B$101,MATCH($A197,'Préstamos'!$A$2:$A$101,0)))</f>
        <v/>
      </c>
      <c r="C197" s="14" t="n"/>
      <c r="D197" s="14" t="n"/>
      <c r="E197" s="33" t="n"/>
      <c r="F197" s="29">
        <f>IF($A197="","",IF(D197="Solo interés",0,IF(AND(D197&lt;&gt;"Solo interés",C197=INDEX('Préstamos'!$G$2:$G$101,MATCH($A197,'Préstamos'!$A$2:$A$101,0))),INDEX('Préstamos'!$D$2:$D$101,MATCH($A197,'Préstamos'!$A$2:$A$101,0))-INDEX('Préstamos'!$J$2:$J$101,MATCH($A197,'Préstamos'!$A$2:$A$101,0))*(INDEX('Préstamos'!$G$2:$G$101,MATCH($A197,'Préstamos'!$A$2:$A$101,0))-1),INDEX('Préstamos'!$J$2:$J$101,MATCH($A197,'Préstamos'!$A$2:$A$101,0)))))</f>
        <v/>
      </c>
      <c r="G197" s="29">
        <f>IF($A197="","",IF(AND(D197&lt;&gt;"Solo interés",C197=INDEX('Préstamos'!$G$2:$G$101,MATCH($A197,'Préstamos'!$A$2:$A$101,0))),INDEX('Préstamos'!$I$2:$I$101,MATCH($A197,'Préstamos'!$A$2:$A$101,0))-INDEX('Préstamos'!$K$2:$K$101,MATCH($A197,'Préstamos'!$A$2:$A$101,0))*(INDEX('Préstamos'!$G$2:$G$101,MATCH($A197,'Préstamos'!$A$2:$A$101,0))-1),INDEX('Préstamos'!$K$2:$K$101,MATCH($A197,'Préstamos'!$A$2:$A$101,0))))</f>
        <v/>
      </c>
      <c r="H197" s="29">
        <f>IF($A197="","",F197+G197)</f>
        <v/>
      </c>
      <c r="I197" s="14" t="n"/>
      <c r="J197" s="33" t="n"/>
      <c r="K197" s="16">
        <f>IF(OR($A197="",I197="Pagado"),"",MAX(0,TODAY()-E197))</f>
        <v/>
      </c>
      <c r="L197" s="16">
        <f>IF($A197="","",IF(I197="Pagado","Pagado",IF(E197&lt;TODAY(),"Atrasado",IF(E197&lt;=EOMONTH(TODAY(),0),"Este mes","Pendiente"))))</f>
        <v/>
      </c>
      <c r="M197" s="20">
        <f>IF(OR($A197="",I197="Pagado"),"",HYPERLINK("https://wa.me/"&amp;IF(INDEX('Préstamos'!$C$2:$C$101,MATCH($A197,'Préstamos'!$A$2:$A$101,0))="","","51"&amp;SUBSTITUTE(INDEX('Préstamos'!$C$2:$C$101,MATCH($A197,'Préstamos'!$A$2:$A$101,0))," ",""))&amp;"?text="&amp;SUBSTITUTE("Hola "&amp;B197&amp;", te recuerdo que tu cuota de S/ "&amp;H197&amp;IF(E197&lt;TODAY()," vencio el "," vence el ")&amp;TEXT(E197,"dd/mm")&amp;". Gracias!"," ","%20"),"WhatsApp"))</f>
        <v/>
      </c>
    </row>
    <row r="198">
      <c r="A198" s="14" t="n"/>
      <c r="B198" s="16">
        <f>IF($A198="","",INDEX('Préstamos'!$B$2:$B$101,MATCH($A198,'Préstamos'!$A$2:$A$101,0)))</f>
        <v/>
      </c>
      <c r="C198" s="14" t="n"/>
      <c r="D198" s="14" t="n"/>
      <c r="E198" s="33" t="n"/>
      <c r="F198" s="29">
        <f>IF($A198="","",IF(D198="Solo interés",0,IF(AND(D198&lt;&gt;"Solo interés",C198=INDEX('Préstamos'!$G$2:$G$101,MATCH($A198,'Préstamos'!$A$2:$A$101,0))),INDEX('Préstamos'!$D$2:$D$101,MATCH($A198,'Préstamos'!$A$2:$A$101,0))-INDEX('Préstamos'!$J$2:$J$101,MATCH($A198,'Préstamos'!$A$2:$A$101,0))*(INDEX('Préstamos'!$G$2:$G$101,MATCH($A198,'Préstamos'!$A$2:$A$101,0))-1),INDEX('Préstamos'!$J$2:$J$101,MATCH($A198,'Préstamos'!$A$2:$A$101,0)))))</f>
        <v/>
      </c>
      <c r="G198" s="29">
        <f>IF($A198="","",IF(AND(D198&lt;&gt;"Solo interés",C198=INDEX('Préstamos'!$G$2:$G$101,MATCH($A198,'Préstamos'!$A$2:$A$101,0))),INDEX('Préstamos'!$I$2:$I$101,MATCH($A198,'Préstamos'!$A$2:$A$101,0))-INDEX('Préstamos'!$K$2:$K$101,MATCH($A198,'Préstamos'!$A$2:$A$101,0))*(INDEX('Préstamos'!$G$2:$G$101,MATCH($A198,'Préstamos'!$A$2:$A$101,0))-1),INDEX('Préstamos'!$K$2:$K$101,MATCH($A198,'Préstamos'!$A$2:$A$101,0))))</f>
        <v/>
      </c>
      <c r="H198" s="29">
        <f>IF($A198="","",F198+G198)</f>
        <v/>
      </c>
      <c r="I198" s="14" t="n"/>
      <c r="J198" s="33" t="n"/>
      <c r="K198" s="16">
        <f>IF(OR($A198="",I198="Pagado"),"",MAX(0,TODAY()-E198))</f>
        <v/>
      </c>
      <c r="L198" s="16">
        <f>IF($A198="","",IF(I198="Pagado","Pagado",IF(E198&lt;TODAY(),"Atrasado",IF(E198&lt;=EOMONTH(TODAY(),0),"Este mes","Pendiente"))))</f>
        <v/>
      </c>
      <c r="M198" s="20">
        <f>IF(OR($A198="",I198="Pagado"),"",HYPERLINK("https://wa.me/"&amp;IF(INDEX('Préstamos'!$C$2:$C$101,MATCH($A198,'Préstamos'!$A$2:$A$101,0))="","","51"&amp;SUBSTITUTE(INDEX('Préstamos'!$C$2:$C$101,MATCH($A198,'Préstamos'!$A$2:$A$101,0))," ",""))&amp;"?text="&amp;SUBSTITUTE("Hola "&amp;B198&amp;", te recuerdo que tu cuota de S/ "&amp;H198&amp;IF(E198&lt;TODAY()," vencio el "," vence el ")&amp;TEXT(E198,"dd/mm")&amp;". Gracias!"," ","%20"),"WhatsApp"))</f>
        <v/>
      </c>
    </row>
    <row r="199">
      <c r="A199" s="14" t="n"/>
      <c r="B199" s="16">
        <f>IF($A199="","",INDEX('Préstamos'!$B$2:$B$101,MATCH($A199,'Préstamos'!$A$2:$A$101,0)))</f>
        <v/>
      </c>
      <c r="C199" s="14" t="n"/>
      <c r="D199" s="14" t="n"/>
      <c r="E199" s="33" t="n"/>
      <c r="F199" s="29">
        <f>IF($A199="","",IF(D199="Solo interés",0,IF(AND(D199&lt;&gt;"Solo interés",C199=INDEX('Préstamos'!$G$2:$G$101,MATCH($A199,'Préstamos'!$A$2:$A$101,0))),INDEX('Préstamos'!$D$2:$D$101,MATCH($A199,'Préstamos'!$A$2:$A$101,0))-INDEX('Préstamos'!$J$2:$J$101,MATCH($A199,'Préstamos'!$A$2:$A$101,0))*(INDEX('Préstamos'!$G$2:$G$101,MATCH($A199,'Préstamos'!$A$2:$A$101,0))-1),INDEX('Préstamos'!$J$2:$J$101,MATCH($A199,'Préstamos'!$A$2:$A$101,0)))))</f>
        <v/>
      </c>
      <c r="G199" s="29">
        <f>IF($A199="","",IF(AND(D199&lt;&gt;"Solo interés",C199=INDEX('Préstamos'!$G$2:$G$101,MATCH($A199,'Préstamos'!$A$2:$A$101,0))),INDEX('Préstamos'!$I$2:$I$101,MATCH($A199,'Préstamos'!$A$2:$A$101,0))-INDEX('Préstamos'!$K$2:$K$101,MATCH($A199,'Préstamos'!$A$2:$A$101,0))*(INDEX('Préstamos'!$G$2:$G$101,MATCH($A199,'Préstamos'!$A$2:$A$101,0))-1),INDEX('Préstamos'!$K$2:$K$101,MATCH($A199,'Préstamos'!$A$2:$A$101,0))))</f>
        <v/>
      </c>
      <c r="H199" s="29">
        <f>IF($A199="","",F199+G199)</f>
        <v/>
      </c>
      <c r="I199" s="14" t="n"/>
      <c r="J199" s="33" t="n"/>
      <c r="K199" s="16">
        <f>IF(OR($A199="",I199="Pagado"),"",MAX(0,TODAY()-E199))</f>
        <v/>
      </c>
      <c r="L199" s="16">
        <f>IF($A199="","",IF(I199="Pagado","Pagado",IF(E199&lt;TODAY(),"Atrasado",IF(E199&lt;=EOMONTH(TODAY(),0),"Este mes","Pendiente"))))</f>
        <v/>
      </c>
      <c r="M199" s="20">
        <f>IF(OR($A199="",I199="Pagado"),"",HYPERLINK("https://wa.me/"&amp;IF(INDEX('Préstamos'!$C$2:$C$101,MATCH($A199,'Préstamos'!$A$2:$A$101,0))="","","51"&amp;SUBSTITUTE(INDEX('Préstamos'!$C$2:$C$101,MATCH($A199,'Préstamos'!$A$2:$A$101,0))," ",""))&amp;"?text="&amp;SUBSTITUTE("Hola "&amp;B199&amp;", te recuerdo que tu cuota de S/ "&amp;H199&amp;IF(E199&lt;TODAY()," vencio el "," vence el ")&amp;TEXT(E199,"dd/mm")&amp;". Gracias!"," ","%20"),"WhatsApp"))</f>
        <v/>
      </c>
    </row>
    <row r="200">
      <c r="A200" s="14" t="n"/>
      <c r="B200" s="16">
        <f>IF($A200="","",INDEX('Préstamos'!$B$2:$B$101,MATCH($A200,'Préstamos'!$A$2:$A$101,0)))</f>
        <v/>
      </c>
      <c r="C200" s="14" t="n"/>
      <c r="D200" s="14" t="n"/>
      <c r="E200" s="33" t="n"/>
      <c r="F200" s="29">
        <f>IF($A200="","",IF(D200="Solo interés",0,IF(AND(D200&lt;&gt;"Solo interés",C200=INDEX('Préstamos'!$G$2:$G$101,MATCH($A200,'Préstamos'!$A$2:$A$101,0))),INDEX('Préstamos'!$D$2:$D$101,MATCH($A200,'Préstamos'!$A$2:$A$101,0))-INDEX('Préstamos'!$J$2:$J$101,MATCH($A200,'Préstamos'!$A$2:$A$101,0))*(INDEX('Préstamos'!$G$2:$G$101,MATCH($A200,'Préstamos'!$A$2:$A$101,0))-1),INDEX('Préstamos'!$J$2:$J$101,MATCH($A200,'Préstamos'!$A$2:$A$101,0)))))</f>
        <v/>
      </c>
      <c r="G200" s="29">
        <f>IF($A200="","",IF(AND(D200&lt;&gt;"Solo interés",C200=INDEX('Préstamos'!$G$2:$G$101,MATCH($A200,'Préstamos'!$A$2:$A$101,0))),INDEX('Préstamos'!$I$2:$I$101,MATCH($A200,'Préstamos'!$A$2:$A$101,0))-INDEX('Préstamos'!$K$2:$K$101,MATCH($A200,'Préstamos'!$A$2:$A$101,0))*(INDEX('Préstamos'!$G$2:$G$101,MATCH($A200,'Préstamos'!$A$2:$A$101,0))-1),INDEX('Préstamos'!$K$2:$K$101,MATCH($A200,'Préstamos'!$A$2:$A$101,0))))</f>
        <v/>
      </c>
      <c r="H200" s="29">
        <f>IF($A200="","",F200+G200)</f>
        <v/>
      </c>
      <c r="I200" s="14" t="n"/>
      <c r="J200" s="33" t="n"/>
      <c r="K200" s="16">
        <f>IF(OR($A200="",I200="Pagado"),"",MAX(0,TODAY()-E200))</f>
        <v/>
      </c>
      <c r="L200" s="16">
        <f>IF($A200="","",IF(I200="Pagado","Pagado",IF(E200&lt;TODAY(),"Atrasado",IF(E200&lt;=EOMONTH(TODAY(),0),"Este mes","Pendiente"))))</f>
        <v/>
      </c>
      <c r="M200" s="20">
        <f>IF(OR($A200="",I200="Pagado"),"",HYPERLINK("https://wa.me/"&amp;IF(INDEX('Préstamos'!$C$2:$C$101,MATCH($A200,'Préstamos'!$A$2:$A$101,0))="","","51"&amp;SUBSTITUTE(INDEX('Préstamos'!$C$2:$C$101,MATCH($A200,'Préstamos'!$A$2:$A$101,0))," ",""))&amp;"?text="&amp;SUBSTITUTE("Hola "&amp;B200&amp;", te recuerdo que tu cuota de S/ "&amp;H200&amp;IF(E200&lt;TODAY()," vencio el "," vence el ")&amp;TEXT(E200,"dd/mm")&amp;". Gracias!"," ","%20"),"WhatsApp"))</f>
        <v/>
      </c>
    </row>
    <row r="201">
      <c r="A201" s="14" t="n"/>
      <c r="B201" s="16">
        <f>IF($A201="","",INDEX('Préstamos'!$B$2:$B$101,MATCH($A201,'Préstamos'!$A$2:$A$101,0)))</f>
        <v/>
      </c>
      <c r="C201" s="14" t="n"/>
      <c r="D201" s="14" t="n"/>
      <c r="E201" s="33" t="n"/>
      <c r="F201" s="29">
        <f>IF($A201="","",IF(D201="Solo interés",0,IF(AND(D201&lt;&gt;"Solo interés",C201=INDEX('Préstamos'!$G$2:$G$101,MATCH($A201,'Préstamos'!$A$2:$A$101,0))),INDEX('Préstamos'!$D$2:$D$101,MATCH($A201,'Préstamos'!$A$2:$A$101,0))-INDEX('Préstamos'!$J$2:$J$101,MATCH($A201,'Préstamos'!$A$2:$A$101,0))*(INDEX('Préstamos'!$G$2:$G$101,MATCH($A201,'Préstamos'!$A$2:$A$101,0))-1),INDEX('Préstamos'!$J$2:$J$101,MATCH($A201,'Préstamos'!$A$2:$A$101,0)))))</f>
        <v/>
      </c>
      <c r="G201" s="29">
        <f>IF($A201="","",IF(AND(D201&lt;&gt;"Solo interés",C201=INDEX('Préstamos'!$G$2:$G$101,MATCH($A201,'Préstamos'!$A$2:$A$101,0))),INDEX('Préstamos'!$I$2:$I$101,MATCH($A201,'Préstamos'!$A$2:$A$101,0))-INDEX('Préstamos'!$K$2:$K$101,MATCH($A201,'Préstamos'!$A$2:$A$101,0))*(INDEX('Préstamos'!$G$2:$G$101,MATCH($A201,'Préstamos'!$A$2:$A$101,0))-1),INDEX('Préstamos'!$K$2:$K$101,MATCH($A201,'Préstamos'!$A$2:$A$101,0))))</f>
        <v/>
      </c>
      <c r="H201" s="29">
        <f>IF($A201="","",F201+G201)</f>
        <v/>
      </c>
      <c r="I201" s="14" t="n"/>
      <c r="J201" s="33" t="n"/>
      <c r="K201" s="16">
        <f>IF(OR($A201="",I201="Pagado"),"",MAX(0,TODAY()-E201))</f>
        <v/>
      </c>
      <c r="L201" s="16">
        <f>IF($A201="","",IF(I201="Pagado","Pagado",IF(E201&lt;TODAY(),"Atrasado",IF(E201&lt;=EOMONTH(TODAY(),0),"Este mes","Pendiente"))))</f>
        <v/>
      </c>
      <c r="M201" s="20">
        <f>IF(OR($A201="",I201="Pagado"),"",HYPERLINK("https://wa.me/"&amp;IF(INDEX('Préstamos'!$C$2:$C$101,MATCH($A201,'Préstamos'!$A$2:$A$101,0))="","","51"&amp;SUBSTITUTE(INDEX('Préstamos'!$C$2:$C$101,MATCH($A201,'Préstamos'!$A$2:$A$101,0))," ",""))&amp;"?text="&amp;SUBSTITUTE("Hola "&amp;B201&amp;", te recuerdo que tu cuota de S/ "&amp;H201&amp;IF(E201&lt;TODAY()," vencio el "," vence el ")&amp;TEXT(E201,"dd/mm")&amp;". Gracias!"," ","%20"),"WhatsApp"))</f>
        <v/>
      </c>
    </row>
    <row r="202">
      <c r="A202" s="14" t="n"/>
      <c r="B202" s="16">
        <f>IF($A202="","",INDEX('Préstamos'!$B$2:$B$101,MATCH($A202,'Préstamos'!$A$2:$A$101,0)))</f>
        <v/>
      </c>
      <c r="C202" s="14" t="n"/>
      <c r="D202" s="14" t="n"/>
      <c r="E202" s="33" t="n"/>
      <c r="F202" s="29">
        <f>IF($A202="","",IF(D202="Solo interés",0,IF(AND(D202&lt;&gt;"Solo interés",C202=INDEX('Préstamos'!$G$2:$G$101,MATCH($A202,'Préstamos'!$A$2:$A$101,0))),INDEX('Préstamos'!$D$2:$D$101,MATCH($A202,'Préstamos'!$A$2:$A$101,0))-INDEX('Préstamos'!$J$2:$J$101,MATCH($A202,'Préstamos'!$A$2:$A$101,0))*(INDEX('Préstamos'!$G$2:$G$101,MATCH($A202,'Préstamos'!$A$2:$A$101,0))-1),INDEX('Préstamos'!$J$2:$J$101,MATCH($A202,'Préstamos'!$A$2:$A$101,0)))))</f>
        <v/>
      </c>
      <c r="G202" s="29">
        <f>IF($A202="","",IF(AND(D202&lt;&gt;"Solo interés",C202=INDEX('Préstamos'!$G$2:$G$101,MATCH($A202,'Préstamos'!$A$2:$A$101,0))),INDEX('Préstamos'!$I$2:$I$101,MATCH($A202,'Préstamos'!$A$2:$A$101,0))-INDEX('Préstamos'!$K$2:$K$101,MATCH($A202,'Préstamos'!$A$2:$A$101,0))*(INDEX('Préstamos'!$G$2:$G$101,MATCH($A202,'Préstamos'!$A$2:$A$101,0))-1),INDEX('Préstamos'!$K$2:$K$101,MATCH($A202,'Préstamos'!$A$2:$A$101,0))))</f>
        <v/>
      </c>
      <c r="H202" s="29">
        <f>IF($A202="","",F202+G202)</f>
        <v/>
      </c>
      <c r="I202" s="14" t="n"/>
      <c r="J202" s="33" t="n"/>
      <c r="K202" s="16">
        <f>IF(OR($A202="",I202="Pagado"),"",MAX(0,TODAY()-E202))</f>
        <v/>
      </c>
      <c r="L202" s="16">
        <f>IF($A202="","",IF(I202="Pagado","Pagado",IF(E202&lt;TODAY(),"Atrasado",IF(E202&lt;=EOMONTH(TODAY(),0),"Este mes","Pendiente"))))</f>
        <v/>
      </c>
      <c r="M202" s="20">
        <f>IF(OR($A202="",I202="Pagado"),"",HYPERLINK("https://wa.me/"&amp;IF(INDEX('Préstamos'!$C$2:$C$101,MATCH($A202,'Préstamos'!$A$2:$A$101,0))="","","51"&amp;SUBSTITUTE(INDEX('Préstamos'!$C$2:$C$101,MATCH($A202,'Préstamos'!$A$2:$A$101,0))," ",""))&amp;"?text="&amp;SUBSTITUTE("Hola "&amp;B202&amp;", te recuerdo que tu cuota de S/ "&amp;H202&amp;IF(E202&lt;TODAY()," vencio el "," vence el ")&amp;TEXT(E202,"dd/mm")&amp;". Gracias!"," ","%20"),"WhatsApp"))</f>
        <v/>
      </c>
    </row>
    <row r="203">
      <c r="A203" s="14" t="n"/>
      <c r="B203" s="16">
        <f>IF($A203="","",INDEX('Préstamos'!$B$2:$B$101,MATCH($A203,'Préstamos'!$A$2:$A$101,0)))</f>
        <v/>
      </c>
      <c r="C203" s="14" t="n"/>
      <c r="D203" s="14" t="n"/>
      <c r="E203" s="33" t="n"/>
      <c r="F203" s="29">
        <f>IF($A203="","",IF(D203="Solo interés",0,IF(AND(D203&lt;&gt;"Solo interés",C203=INDEX('Préstamos'!$G$2:$G$101,MATCH($A203,'Préstamos'!$A$2:$A$101,0))),INDEX('Préstamos'!$D$2:$D$101,MATCH($A203,'Préstamos'!$A$2:$A$101,0))-INDEX('Préstamos'!$J$2:$J$101,MATCH($A203,'Préstamos'!$A$2:$A$101,0))*(INDEX('Préstamos'!$G$2:$G$101,MATCH($A203,'Préstamos'!$A$2:$A$101,0))-1),INDEX('Préstamos'!$J$2:$J$101,MATCH($A203,'Préstamos'!$A$2:$A$101,0)))))</f>
        <v/>
      </c>
      <c r="G203" s="29">
        <f>IF($A203="","",IF(AND(D203&lt;&gt;"Solo interés",C203=INDEX('Préstamos'!$G$2:$G$101,MATCH($A203,'Préstamos'!$A$2:$A$101,0))),INDEX('Préstamos'!$I$2:$I$101,MATCH($A203,'Préstamos'!$A$2:$A$101,0))-INDEX('Préstamos'!$K$2:$K$101,MATCH($A203,'Préstamos'!$A$2:$A$101,0))*(INDEX('Préstamos'!$G$2:$G$101,MATCH($A203,'Préstamos'!$A$2:$A$101,0))-1),INDEX('Préstamos'!$K$2:$K$101,MATCH($A203,'Préstamos'!$A$2:$A$101,0))))</f>
        <v/>
      </c>
      <c r="H203" s="29">
        <f>IF($A203="","",F203+G203)</f>
        <v/>
      </c>
      <c r="I203" s="14" t="n"/>
      <c r="J203" s="33" t="n"/>
      <c r="K203" s="16">
        <f>IF(OR($A203="",I203="Pagado"),"",MAX(0,TODAY()-E203))</f>
        <v/>
      </c>
      <c r="L203" s="16">
        <f>IF($A203="","",IF(I203="Pagado","Pagado",IF(E203&lt;TODAY(),"Atrasado",IF(E203&lt;=EOMONTH(TODAY(),0),"Este mes","Pendiente"))))</f>
        <v/>
      </c>
      <c r="M203" s="20">
        <f>IF(OR($A203="",I203="Pagado"),"",HYPERLINK("https://wa.me/"&amp;IF(INDEX('Préstamos'!$C$2:$C$101,MATCH($A203,'Préstamos'!$A$2:$A$101,0))="","","51"&amp;SUBSTITUTE(INDEX('Préstamos'!$C$2:$C$101,MATCH($A203,'Préstamos'!$A$2:$A$101,0))," ",""))&amp;"?text="&amp;SUBSTITUTE("Hola "&amp;B203&amp;", te recuerdo que tu cuota de S/ "&amp;H203&amp;IF(E203&lt;TODAY()," vencio el "," vence el ")&amp;TEXT(E203,"dd/mm")&amp;". Gracias!"," ","%20"),"WhatsApp"))</f>
        <v/>
      </c>
    </row>
    <row r="204">
      <c r="A204" s="14" t="n"/>
      <c r="B204" s="16">
        <f>IF($A204="","",INDEX('Préstamos'!$B$2:$B$101,MATCH($A204,'Préstamos'!$A$2:$A$101,0)))</f>
        <v/>
      </c>
      <c r="C204" s="14" t="n"/>
      <c r="D204" s="14" t="n"/>
      <c r="E204" s="33" t="n"/>
      <c r="F204" s="29">
        <f>IF($A204="","",IF(D204="Solo interés",0,IF(AND(D204&lt;&gt;"Solo interés",C204=INDEX('Préstamos'!$G$2:$G$101,MATCH($A204,'Préstamos'!$A$2:$A$101,0))),INDEX('Préstamos'!$D$2:$D$101,MATCH($A204,'Préstamos'!$A$2:$A$101,0))-INDEX('Préstamos'!$J$2:$J$101,MATCH($A204,'Préstamos'!$A$2:$A$101,0))*(INDEX('Préstamos'!$G$2:$G$101,MATCH($A204,'Préstamos'!$A$2:$A$101,0))-1),INDEX('Préstamos'!$J$2:$J$101,MATCH($A204,'Préstamos'!$A$2:$A$101,0)))))</f>
        <v/>
      </c>
      <c r="G204" s="29">
        <f>IF($A204="","",IF(AND(D204&lt;&gt;"Solo interés",C204=INDEX('Préstamos'!$G$2:$G$101,MATCH($A204,'Préstamos'!$A$2:$A$101,0))),INDEX('Préstamos'!$I$2:$I$101,MATCH($A204,'Préstamos'!$A$2:$A$101,0))-INDEX('Préstamos'!$K$2:$K$101,MATCH($A204,'Préstamos'!$A$2:$A$101,0))*(INDEX('Préstamos'!$G$2:$G$101,MATCH($A204,'Préstamos'!$A$2:$A$101,0))-1),INDEX('Préstamos'!$K$2:$K$101,MATCH($A204,'Préstamos'!$A$2:$A$101,0))))</f>
        <v/>
      </c>
      <c r="H204" s="29">
        <f>IF($A204="","",F204+G204)</f>
        <v/>
      </c>
      <c r="I204" s="14" t="n"/>
      <c r="J204" s="33" t="n"/>
      <c r="K204" s="16">
        <f>IF(OR($A204="",I204="Pagado"),"",MAX(0,TODAY()-E204))</f>
        <v/>
      </c>
      <c r="L204" s="16">
        <f>IF($A204="","",IF(I204="Pagado","Pagado",IF(E204&lt;TODAY(),"Atrasado",IF(E204&lt;=EOMONTH(TODAY(),0),"Este mes","Pendiente"))))</f>
        <v/>
      </c>
      <c r="M204" s="20">
        <f>IF(OR($A204="",I204="Pagado"),"",HYPERLINK("https://wa.me/"&amp;IF(INDEX('Préstamos'!$C$2:$C$101,MATCH($A204,'Préstamos'!$A$2:$A$101,0))="","","51"&amp;SUBSTITUTE(INDEX('Préstamos'!$C$2:$C$101,MATCH($A204,'Préstamos'!$A$2:$A$101,0))," ",""))&amp;"?text="&amp;SUBSTITUTE("Hola "&amp;B204&amp;", te recuerdo que tu cuota de S/ "&amp;H204&amp;IF(E204&lt;TODAY()," vencio el "," vence el ")&amp;TEXT(E204,"dd/mm")&amp;". Gracias!"," ","%20"),"WhatsApp"))</f>
        <v/>
      </c>
    </row>
    <row r="205">
      <c r="A205" s="14" t="n"/>
      <c r="B205" s="16">
        <f>IF($A205="","",INDEX('Préstamos'!$B$2:$B$101,MATCH($A205,'Préstamos'!$A$2:$A$101,0)))</f>
        <v/>
      </c>
      <c r="C205" s="14" t="n"/>
      <c r="D205" s="14" t="n"/>
      <c r="E205" s="33" t="n"/>
      <c r="F205" s="29">
        <f>IF($A205="","",IF(D205="Solo interés",0,IF(AND(D205&lt;&gt;"Solo interés",C205=INDEX('Préstamos'!$G$2:$G$101,MATCH($A205,'Préstamos'!$A$2:$A$101,0))),INDEX('Préstamos'!$D$2:$D$101,MATCH($A205,'Préstamos'!$A$2:$A$101,0))-INDEX('Préstamos'!$J$2:$J$101,MATCH($A205,'Préstamos'!$A$2:$A$101,0))*(INDEX('Préstamos'!$G$2:$G$101,MATCH($A205,'Préstamos'!$A$2:$A$101,0))-1),INDEX('Préstamos'!$J$2:$J$101,MATCH($A205,'Préstamos'!$A$2:$A$101,0)))))</f>
        <v/>
      </c>
      <c r="G205" s="29">
        <f>IF($A205="","",IF(AND(D205&lt;&gt;"Solo interés",C205=INDEX('Préstamos'!$G$2:$G$101,MATCH($A205,'Préstamos'!$A$2:$A$101,0))),INDEX('Préstamos'!$I$2:$I$101,MATCH($A205,'Préstamos'!$A$2:$A$101,0))-INDEX('Préstamos'!$K$2:$K$101,MATCH($A205,'Préstamos'!$A$2:$A$101,0))*(INDEX('Préstamos'!$G$2:$G$101,MATCH($A205,'Préstamos'!$A$2:$A$101,0))-1),INDEX('Préstamos'!$K$2:$K$101,MATCH($A205,'Préstamos'!$A$2:$A$101,0))))</f>
        <v/>
      </c>
      <c r="H205" s="29">
        <f>IF($A205="","",F205+G205)</f>
        <v/>
      </c>
      <c r="I205" s="14" t="n"/>
      <c r="J205" s="33" t="n"/>
      <c r="K205" s="16">
        <f>IF(OR($A205="",I205="Pagado"),"",MAX(0,TODAY()-E205))</f>
        <v/>
      </c>
      <c r="L205" s="16">
        <f>IF($A205="","",IF(I205="Pagado","Pagado",IF(E205&lt;TODAY(),"Atrasado",IF(E205&lt;=EOMONTH(TODAY(),0),"Este mes","Pendiente"))))</f>
        <v/>
      </c>
      <c r="M205" s="20">
        <f>IF(OR($A205="",I205="Pagado"),"",HYPERLINK("https://wa.me/"&amp;IF(INDEX('Préstamos'!$C$2:$C$101,MATCH($A205,'Préstamos'!$A$2:$A$101,0))="","","51"&amp;SUBSTITUTE(INDEX('Préstamos'!$C$2:$C$101,MATCH($A205,'Préstamos'!$A$2:$A$101,0))," ",""))&amp;"?text="&amp;SUBSTITUTE("Hola "&amp;B205&amp;", te recuerdo que tu cuota de S/ "&amp;H205&amp;IF(E205&lt;TODAY()," vencio el "," vence el ")&amp;TEXT(E205,"dd/mm")&amp;". Gracias!"," ","%20"),"WhatsApp"))</f>
        <v/>
      </c>
    </row>
    <row r="206">
      <c r="A206" s="14" t="n"/>
      <c r="B206" s="16">
        <f>IF($A206="","",INDEX('Préstamos'!$B$2:$B$101,MATCH($A206,'Préstamos'!$A$2:$A$101,0)))</f>
        <v/>
      </c>
      <c r="C206" s="14" t="n"/>
      <c r="D206" s="14" t="n"/>
      <c r="E206" s="33" t="n"/>
      <c r="F206" s="29">
        <f>IF($A206="","",IF(D206="Solo interés",0,IF(AND(D206&lt;&gt;"Solo interés",C206=INDEX('Préstamos'!$G$2:$G$101,MATCH($A206,'Préstamos'!$A$2:$A$101,0))),INDEX('Préstamos'!$D$2:$D$101,MATCH($A206,'Préstamos'!$A$2:$A$101,0))-INDEX('Préstamos'!$J$2:$J$101,MATCH($A206,'Préstamos'!$A$2:$A$101,0))*(INDEX('Préstamos'!$G$2:$G$101,MATCH($A206,'Préstamos'!$A$2:$A$101,0))-1),INDEX('Préstamos'!$J$2:$J$101,MATCH($A206,'Préstamos'!$A$2:$A$101,0)))))</f>
        <v/>
      </c>
      <c r="G206" s="29">
        <f>IF($A206="","",IF(AND(D206&lt;&gt;"Solo interés",C206=INDEX('Préstamos'!$G$2:$G$101,MATCH($A206,'Préstamos'!$A$2:$A$101,0))),INDEX('Préstamos'!$I$2:$I$101,MATCH($A206,'Préstamos'!$A$2:$A$101,0))-INDEX('Préstamos'!$K$2:$K$101,MATCH($A206,'Préstamos'!$A$2:$A$101,0))*(INDEX('Préstamos'!$G$2:$G$101,MATCH($A206,'Préstamos'!$A$2:$A$101,0))-1),INDEX('Préstamos'!$K$2:$K$101,MATCH($A206,'Préstamos'!$A$2:$A$101,0))))</f>
        <v/>
      </c>
      <c r="H206" s="29">
        <f>IF($A206="","",F206+G206)</f>
        <v/>
      </c>
      <c r="I206" s="14" t="n"/>
      <c r="J206" s="33" t="n"/>
      <c r="K206" s="16">
        <f>IF(OR($A206="",I206="Pagado"),"",MAX(0,TODAY()-E206))</f>
        <v/>
      </c>
      <c r="L206" s="16">
        <f>IF($A206="","",IF(I206="Pagado","Pagado",IF(E206&lt;TODAY(),"Atrasado",IF(E206&lt;=EOMONTH(TODAY(),0),"Este mes","Pendiente"))))</f>
        <v/>
      </c>
      <c r="M206" s="20">
        <f>IF(OR($A206="",I206="Pagado"),"",HYPERLINK("https://wa.me/"&amp;IF(INDEX('Préstamos'!$C$2:$C$101,MATCH($A206,'Préstamos'!$A$2:$A$101,0))="","","51"&amp;SUBSTITUTE(INDEX('Préstamos'!$C$2:$C$101,MATCH($A206,'Préstamos'!$A$2:$A$101,0))," ",""))&amp;"?text="&amp;SUBSTITUTE("Hola "&amp;B206&amp;", te recuerdo que tu cuota de S/ "&amp;H206&amp;IF(E206&lt;TODAY()," vencio el "," vence el ")&amp;TEXT(E206,"dd/mm")&amp;". Gracias!"," ","%20"),"WhatsApp"))</f>
        <v/>
      </c>
    </row>
    <row r="207">
      <c r="A207" s="14" t="n"/>
      <c r="B207" s="16">
        <f>IF($A207="","",INDEX('Préstamos'!$B$2:$B$101,MATCH($A207,'Préstamos'!$A$2:$A$101,0)))</f>
        <v/>
      </c>
      <c r="C207" s="14" t="n"/>
      <c r="D207" s="14" t="n"/>
      <c r="E207" s="33" t="n"/>
      <c r="F207" s="29">
        <f>IF($A207="","",IF(D207="Solo interés",0,IF(AND(D207&lt;&gt;"Solo interés",C207=INDEX('Préstamos'!$G$2:$G$101,MATCH($A207,'Préstamos'!$A$2:$A$101,0))),INDEX('Préstamos'!$D$2:$D$101,MATCH($A207,'Préstamos'!$A$2:$A$101,0))-INDEX('Préstamos'!$J$2:$J$101,MATCH($A207,'Préstamos'!$A$2:$A$101,0))*(INDEX('Préstamos'!$G$2:$G$101,MATCH($A207,'Préstamos'!$A$2:$A$101,0))-1),INDEX('Préstamos'!$J$2:$J$101,MATCH($A207,'Préstamos'!$A$2:$A$101,0)))))</f>
        <v/>
      </c>
      <c r="G207" s="29">
        <f>IF($A207="","",IF(AND(D207&lt;&gt;"Solo interés",C207=INDEX('Préstamos'!$G$2:$G$101,MATCH($A207,'Préstamos'!$A$2:$A$101,0))),INDEX('Préstamos'!$I$2:$I$101,MATCH($A207,'Préstamos'!$A$2:$A$101,0))-INDEX('Préstamos'!$K$2:$K$101,MATCH($A207,'Préstamos'!$A$2:$A$101,0))*(INDEX('Préstamos'!$G$2:$G$101,MATCH($A207,'Préstamos'!$A$2:$A$101,0))-1),INDEX('Préstamos'!$K$2:$K$101,MATCH($A207,'Préstamos'!$A$2:$A$101,0))))</f>
        <v/>
      </c>
      <c r="H207" s="29">
        <f>IF($A207="","",F207+G207)</f>
        <v/>
      </c>
      <c r="I207" s="14" t="n"/>
      <c r="J207" s="33" t="n"/>
      <c r="K207" s="16">
        <f>IF(OR($A207="",I207="Pagado"),"",MAX(0,TODAY()-E207))</f>
        <v/>
      </c>
      <c r="L207" s="16">
        <f>IF($A207="","",IF(I207="Pagado","Pagado",IF(E207&lt;TODAY(),"Atrasado",IF(E207&lt;=EOMONTH(TODAY(),0),"Este mes","Pendiente"))))</f>
        <v/>
      </c>
      <c r="M207" s="20">
        <f>IF(OR($A207="",I207="Pagado"),"",HYPERLINK("https://wa.me/"&amp;IF(INDEX('Préstamos'!$C$2:$C$101,MATCH($A207,'Préstamos'!$A$2:$A$101,0))="","","51"&amp;SUBSTITUTE(INDEX('Préstamos'!$C$2:$C$101,MATCH($A207,'Préstamos'!$A$2:$A$101,0))," ",""))&amp;"?text="&amp;SUBSTITUTE("Hola "&amp;B207&amp;", te recuerdo que tu cuota de S/ "&amp;H207&amp;IF(E207&lt;TODAY()," vencio el "," vence el ")&amp;TEXT(E207,"dd/mm")&amp;". Gracias!"," ","%20"),"WhatsApp"))</f>
        <v/>
      </c>
    </row>
    <row r="208">
      <c r="A208" s="14" t="n"/>
      <c r="B208" s="16">
        <f>IF($A208="","",INDEX('Préstamos'!$B$2:$B$101,MATCH($A208,'Préstamos'!$A$2:$A$101,0)))</f>
        <v/>
      </c>
      <c r="C208" s="14" t="n"/>
      <c r="D208" s="14" t="n"/>
      <c r="E208" s="33" t="n"/>
      <c r="F208" s="29">
        <f>IF($A208="","",IF(D208="Solo interés",0,IF(AND(D208&lt;&gt;"Solo interés",C208=INDEX('Préstamos'!$G$2:$G$101,MATCH($A208,'Préstamos'!$A$2:$A$101,0))),INDEX('Préstamos'!$D$2:$D$101,MATCH($A208,'Préstamos'!$A$2:$A$101,0))-INDEX('Préstamos'!$J$2:$J$101,MATCH($A208,'Préstamos'!$A$2:$A$101,0))*(INDEX('Préstamos'!$G$2:$G$101,MATCH($A208,'Préstamos'!$A$2:$A$101,0))-1),INDEX('Préstamos'!$J$2:$J$101,MATCH($A208,'Préstamos'!$A$2:$A$101,0)))))</f>
        <v/>
      </c>
      <c r="G208" s="29">
        <f>IF($A208="","",IF(AND(D208&lt;&gt;"Solo interés",C208=INDEX('Préstamos'!$G$2:$G$101,MATCH($A208,'Préstamos'!$A$2:$A$101,0))),INDEX('Préstamos'!$I$2:$I$101,MATCH($A208,'Préstamos'!$A$2:$A$101,0))-INDEX('Préstamos'!$K$2:$K$101,MATCH($A208,'Préstamos'!$A$2:$A$101,0))*(INDEX('Préstamos'!$G$2:$G$101,MATCH($A208,'Préstamos'!$A$2:$A$101,0))-1),INDEX('Préstamos'!$K$2:$K$101,MATCH($A208,'Préstamos'!$A$2:$A$101,0))))</f>
        <v/>
      </c>
      <c r="H208" s="29">
        <f>IF($A208="","",F208+G208)</f>
        <v/>
      </c>
      <c r="I208" s="14" t="n"/>
      <c r="J208" s="33" t="n"/>
      <c r="K208" s="16">
        <f>IF(OR($A208="",I208="Pagado"),"",MAX(0,TODAY()-E208))</f>
        <v/>
      </c>
      <c r="L208" s="16">
        <f>IF($A208="","",IF(I208="Pagado","Pagado",IF(E208&lt;TODAY(),"Atrasado",IF(E208&lt;=EOMONTH(TODAY(),0),"Este mes","Pendiente"))))</f>
        <v/>
      </c>
      <c r="M208" s="20">
        <f>IF(OR($A208="",I208="Pagado"),"",HYPERLINK("https://wa.me/"&amp;IF(INDEX('Préstamos'!$C$2:$C$101,MATCH($A208,'Préstamos'!$A$2:$A$101,0))="","","51"&amp;SUBSTITUTE(INDEX('Préstamos'!$C$2:$C$101,MATCH($A208,'Préstamos'!$A$2:$A$101,0))," ",""))&amp;"?text="&amp;SUBSTITUTE("Hola "&amp;B208&amp;", te recuerdo que tu cuota de S/ "&amp;H208&amp;IF(E208&lt;TODAY()," vencio el "," vence el ")&amp;TEXT(E208,"dd/mm")&amp;". Gracias!"," ","%20"),"WhatsApp"))</f>
        <v/>
      </c>
    </row>
    <row r="209">
      <c r="A209" s="14" t="n"/>
      <c r="B209" s="16">
        <f>IF($A209="","",INDEX('Préstamos'!$B$2:$B$101,MATCH($A209,'Préstamos'!$A$2:$A$101,0)))</f>
        <v/>
      </c>
      <c r="C209" s="14" t="n"/>
      <c r="D209" s="14" t="n"/>
      <c r="E209" s="33" t="n"/>
      <c r="F209" s="29">
        <f>IF($A209="","",IF(D209="Solo interés",0,IF(AND(D209&lt;&gt;"Solo interés",C209=INDEX('Préstamos'!$G$2:$G$101,MATCH($A209,'Préstamos'!$A$2:$A$101,0))),INDEX('Préstamos'!$D$2:$D$101,MATCH($A209,'Préstamos'!$A$2:$A$101,0))-INDEX('Préstamos'!$J$2:$J$101,MATCH($A209,'Préstamos'!$A$2:$A$101,0))*(INDEX('Préstamos'!$G$2:$G$101,MATCH($A209,'Préstamos'!$A$2:$A$101,0))-1),INDEX('Préstamos'!$J$2:$J$101,MATCH($A209,'Préstamos'!$A$2:$A$101,0)))))</f>
        <v/>
      </c>
      <c r="G209" s="29">
        <f>IF($A209="","",IF(AND(D209&lt;&gt;"Solo interés",C209=INDEX('Préstamos'!$G$2:$G$101,MATCH($A209,'Préstamos'!$A$2:$A$101,0))),INDEX('Préstamos'!$I$2:$I$101,MATCH($A209,'Préstamos'!$A$2:$A$101,0))-INDEX('Préstamos'!$K$2:$K$101,MATCH($A209,'Préstamos'!$A$2:$A$101,0))*(INDEX('Préstamos'!$G$2:$G$101,MATCH($A209,'Préstamos'!$A$2:$A$101,0))-1),INDEX('Préstamos'!$K$2:$K$101,MATCH($A209,'Préstamos'!$A$2:$A$101,0))))</f>
        <v/>
      </c>
      <c r="H209" s="29">
        <f>IF($A209="","",F209+G209)</f>
        <v/>
      </c>
      <c r="I209" s="14" t="n"/>
      <c r="J209" s="33" t="n"/>
      <c r="K209" s="16">
        <f>IF(OR($A209="",I209="Pagado"),"",MAX(0,TODAY()-E209))</f>
        <v/>
      </c>
      <c r="L209" s="16">
        <f>IF($A209="","",IF(I209="Pagado","Pagado",IF(E209&lt;TODAY(),"Atrasado",IF(E209&lt;=EOMONTH(TODAY(),0),"Este mes","Pendiente"))))</f>
        <v/>
      </c>
      <c r="M209" s="20">
        <f>IF(OR($A209="",I209="Pagado"),"",HYPERLINK("https://wa.me/"&amp;IF(INDEX('Préstamos'!$C$2:$C$101,MATCH($A209,'Préstamos'!$A$2:$A$101,0))="","","51"&amp;SUBSTITUTE(INDEX('Préstamos'!$C$2:$C$101,MATCH($A209,'Préstamos'!$A$2:$A$101,0))," ",""))&amp;"?text="&amp;SUBSTITUTE("Hola "&amp;B209&amp;", te recuerdo que tu cuota de S/ "&amp;H209&amp;IF(E209&lt;TODAY()," vencio el "," vence el ")&amp;TEXT(E209,"dd/mm")&amp;". Gracias!"," ","%20"),"WhatsApp"))</f>
        <v/>
      </c>
    </row>
    <row r="210">
      <c r="A210" s="14" t="n"/>
      <c r="B210" s="16">
        <f>IF($A210="","",INDEX('Préstamos'!$B$2:$B$101,MATCH($A210,'Préstamos'!$A$2:$A$101,0)))</f>
        <v/>
      </c>
      <c r="C210" s="14" t="n"/>
      <c r="D210" s="14" t="n"/>
      <c r="E210" s="33" t="n"/>
      <c r="F210" s="29">
        <f>IF($A210="","",IF(D210="Solo interés",0,IF(AND(D210&lt;&gt;"Solo interés",C210=INDEX('Préstamos'!$G$2:$G$101,MATCH($A210,'Préstamos'!$A$2:$A$101,0))),INDEX('Préstamos'!$D$2:$D$101,MATCH($A210,'Préstamos'!$A$2:$A$101,0))-INDEX('Préstamos'!$J$2:$J$101,MATCH($A210,'Préstamos'!$A$2:$A$101,0))*(INDEX('Préstamos'!$G$2:$G$101,MATCH($A210,'Préstamos'!$A$2:$A$101,0))-1),INDEX('Préstamos'!$J$2:$J$101,MATCH($A210,'Préstamos'!$A$2:$A$101,0)))))</f>
        <v/>
      </c>
      <c r="G210" s="29">
        <f>IF($A210="","",IF(AND(D210&lt;&gt;"Solo interés",C210=INDEX('Préstamos'!$G$2:$G$101,MATCH($A210,'Préstamos'!$A$2:$A$101,0))),INDEX('Préstamos'!$I$2:$I$101,MATCH($A210,'Préstamos'!$A$2:$A$101,0))-INDEX('Préstamos'!$K$2:$K$101,MATCH($A210,'Préstamos'!$A$2:$A$101,0))*(INDEX('Préstamos'!$G$2:$G$101,MATCH($A210,'Préstamos'!$A$2:$A$101,0))-1),INDEX('Préstamos'!$K$2:$K$101,MATCH($A210,'Préstamos'!$A$2:$A$101,0))))</f>
        <v/>
      </c>
      <c r="H210" s="29">
        <f>IF($A210="","",F210+G210)</f>
        <v/>
      </c>
      <c r="I210" s="14" t="n"/>
      <c r="J210" s="33" t="n"/>
      <c r="K210" s="16">
        <f>IF(OR($A210="",I210="Pagado"),"",MAX(0,TODAY()-E210))</f>
        <v/>
      </c>
      <c r="L210" s="16">
        <f>IF($A210="","",IF(I210="Pagado","Pagado",IF(E210&lt;TODAY(),"Atrasado",IF(E210&lt;=EOMONTH(TODAY(),0),"Este mes","Pendiente"))))</f>
        <v/>
      </c>
      <c r="M210" s="20">
        <f>IF(OR($A210="",I210="Pagado"),"",HYPERLINK("https://wa.me/"&amp;IF(INDEX('Préstamos'!$C$2:$C$101,MATCH($A210,'Préstamos'!$A$2:$A$101,0))="","","51"&amp;SUBSTITUTE(INDEX('Préstamos'!$C$2:$C$101,MATCH($A210,'Préstamos'!$A$2:$A$101,0))," ",""))&amp;"?text="&amp;SUBSTITUTE("Hola "&amp;B210&amp;", te recuerdo que tu cuota de S/ "&amp;H210&amp;IF(E210&lt;TODAY()," vencio el "," vence el ")&amp;TEXT(E210,"dd/mm")&amp;". Gracias!"," ","%20"),"WhatsApp"))</f>
        <v/>
      </c>
    </row>
    <row r="211">
      <c r="A211" s="14" t="n"/>
      <c r="B211" s="16">
        <f>IF($A211="","",INDEX('Préstamos'!$B$2:$B$101,MATCH($A211,'Préstamos'!$A$2:$A$101,0)))</f>
        <v/>
      </c>
      <c r="C211" s="14" t="n"/>
      <c r="D211" s="14" t="n"/>
      <c r="E211" s="33" t="n"/>
      <c r="F211" s="29">
        <f>IF($A211="","",IF(D211="Solo interés",0,IF(AND(D211&lt;&gt;"Solo interés",C211=INDEX('Préstamos'!$G$2:$G$101,MATCH($A211,'Préstamos'!$A$2:$A$101,0))),INDEX('Préstamos'!$D$2:$D$101,MATCH($A211,'Préstamos'!$A$2:$A$101,0))-INDEX('Préstamos'!$J$2:$J$101,MATCH($A211,'Préstamos'!$A$2:$A$101,0))*(INDEX('Préstamos'!$G$2:$G$101,MATCH($A211,'Préstamos'!$A$2:$A$101,0))-1),INDEX('Préstamos'!$J$2:$J$101,MATCH($A211,'Préstamos'!$A$2:$A$101,0)))))</f>
        <v/>
      </c>
      <c r="G211" s="29">
        <f>IF($A211="","",IF(AND(D211&lt;&gt;"Solo interés",C211=INDEX('Préstamos'!$G$2:$G$101,MATCH($A211,'Préstamos'!$A$2:$A$101,0))),INDEX('Préstamos'!$I$2:$I$101,MATCH($A211,'Préstamos'!$A$2:$A$101,0))-INDEX('Préstamos'!$K$2:$K$101,MATCH($A211,'Préstamos'!$A$2:$A$101,0))*(INDEX('Préstamos'!$G$2:$G$101,MATCH($A211,'Préstamos'!$A$2:$A$101,0))-1),INDEX('Préstamos'!$K$2:$K$101,MATCH($A211,'Préstamos'!$A$2:$A$101,0))))</f>
        <v/>
      </c>
      <c r="H211" s="29">
        <f>IF($A211="","",F211+G211)</f>
        <v/>
      </c>
      <c r="I211" s="14" t="n"/>
      <c r="J211" s="33" t="n"/>
      <c r="K211" s="16">
        <f>IF(OR($A211="",I211="Pagado"),"",MAX(0,TODAY()-E211))</f>
        <v/>
      </c>
      <c r="L211" s="16">
        <f>IF($A211="","",IF(I211="Pagado","Pagado",IF(E211&lt;TODAY(),"Atrasado",IF(E211&lt;=EOMONTH(TODAY(),0),"Este mes","Pendiente"))))</f>
        <v/>
      </c>
      <c r="M211" s="20">
        <f>IF(OR($A211="",I211="Pagado"),"",HYPERLINK("https://wa.me/"&amp;IF(INDEX('Préstamos'!$C$2:$C$101,MATCH($A211,'Préstamos'!$A$2:$A$101,0))="","","51"&amp;SUBSTITUTE(INDEX('Préstamos'!$C$2:$C$101,MATCH($A211,'Préstamos'!$A$2:$A$101,0))," ",""))&amp;"?text="&amp;SUBSTITUTE("Hola "&amp;B211&amp;", te recuerdo que tu cuota de S/ "&amp;H211&amp;IF(E211&lt;TODAY()," vencio el "," vence el ")&amp;TEXT(E211,"dd/mm")&amp;". Gracias!"," ","%20"),"WhatsApp"))</f>
        <v/>
      </c>
    </row>
    <row r="212">
      <c r="A212" s="14" t="n"/>
      <c r="B212" s="16">
        <f>IF($A212="","",INDEX('Préstamos'!$B$2:$B$101,MATCH($A212,'Préstamos'!$A$2:$A$101,0)))</f>
        <v/>
      </c>
      <c r="C212" s="14" t="n"/>
      <c r="D212" s="14" t="n"/>
      <c r="E212" s="33" t="n"/>
      <c r="F212" s="29">
        <f>IF($A212="","",IF(D212="Solo interés",0,IF(AND(D212&lt;&gt;"Solo interés",C212=INDEX('Préstamos'!$G$2:$G$101,MATCH($A212,'Préstamos'!$A$2:$A$101,0))),INDEX('Préstamos'!$D$2:$D$101,MATCH($A212,'Préstamos'!$A$2:$A$101,0))-INDEX('Préstamos'!$J$2:$J$101,MATCH($A212,'Préstamos'!$A$2:$A$101,0))*(INDEX('Préstamos'!$G$2:$G$101,MATCH($A212,'Préstamos'!$A$2:$A$101,0))-1),INDEX('Préstamos'!$J$2:$J$101,MATCH($A212,'Préstamos'!$A$2:$A$101,0)))))</f>
        <v/>
      </c>
      <c r="G212" s="29">
        <f>IF($A212="","",IF(AND(D212&lt;&gt;"Solo interés",C212=INDEX('Préstamos'!$G$2:$G$101,MATCH($A212,'Préstamos'!$A$2:$A$101,0))),INDEX('Préstamos'!$I$2:$I$101,MATCH($A212,'Préstamos'!$A$2:$A$101,0))-INDEX('Préstamos'!$K$2:$K$101,MATCH($A212,'Préstamos'!$A$2:$A$101,0))*(INDEX('Préstamos'!$G$2:$G$101,MATCH($A212,'Préstamos'!$A$2:$A$101,0))-1),INDEX('Préstamos'!$K$2:$K$101,MATCH($A212,'Préstamos'!$A$2:$A$101,0))))</f>
        <v/>
      </c>
      <c r="H212" s="29">
        <f>IF($A212="","",F212+G212)</f>
        <v/>
      </c>
      <c r="I212" s="14" t="n"/>
      <c r="J212" s="33" t="n"/>
      <c r="K212" s="16">
        <f>IF(OR($A212="",I212="Pagado"),"",MAX(0,TODAY()-E212))</f>
        <v/>
      </c>
      <c r="L212" s="16">
        <f>IF($A212="","",IF(I212="Pagado","Pagado",IF(E212&lt;TODAY(),"Atrasado",IF(E212&lt;=EOMONTH(TODAY(),0),"Este mes","Pendiente"))))</f>
        <v/>
      </c>
      <c r="M212" s="20">
        <f>IF(OR($A212="",I212="Pagado"),"",HYPERLINK("https://wa.me/"&amp;IF(INDEX('Préstamos'!$C$2:$C$101,MATCH($A212,'Préstamos'!$A$2:$A$101,0))="","","51"&amp;SUBSTITUTE(INDEX('Préstamos'!$C$2:$C$101,MATCH($A212,'Préstamos'!$A$2:$A$101,0))," ",""))&amp;"?text="&amp;SUBSTITUTE("Hola "&amp;B212&amp;", te recuerdo que tu cuota de S/ "&amp;H212&amp;IF(E212&lt;TODAY()," vencio el "," vence el ")&amp;TEXT(E212,"dd/mm")&amp;". Gracias!"," ","%20"),"WhatsApp"))</f>
        <v/>
      </c>
    </row>
    <row r="213">
      <c r="A213" s="14" t="n"/>
      <c r="B213" s="16">
        <f>IF($A213="","",INDEX('Préstamos'!$B$2:$B$101,MATCH($A213,'Préstamos'!$A$2:$A$101,0)))</f>
        <v/>
      </c>
      <c r="C213" s="14" t="n"/>
      <c r="D213" s="14" t="n"/>
      <c r="E213" s="33" t="n"/>
      <c r="F213" s="29">
        <f>IF($A213="","",IF(D213="Solo interés",0,IF(AND(D213&lt;&gt;"Solo interés",C213=INDEX('Préstamos'!$G$2:$G$101,MATCH($A213,'Préstamos'!$A$2:$A$101,0))),INDEX('Préstamos'!$D$2:$D$101,MATCH($A213,'Préstamos'!$A$2:$A$101,0))-INDEX('Préstamos'!$J$2:$J$101,MATCH($A213,'Préstamos'!$A$2:$A$101,0))*(INDEX('Préstamos'!$G$2:$G$101,MATCH($A213,'Préstamos'!$A$2:$A$101,0))-1),INDEX('Préstamos'!$J$2:$J$101,MATCH($A213,'Préstamos'!$A$2:$A$101,0)))))</f>
        <v/>
      </c>
      <c r="G213" s="29">
        <f>IF($A213="","",IF(AND(D213&lt;&gt;"Solo interés",C213=INDEX('Préstamos'!$G$2:$G$101,MATCH($A213,'Préstamos'!$A$2:$A$101,0))),INDEX('Préstamos'!$I$2:$I$101,MATCH($A213,'Préstamos'!$A$2:$A$101,0))-INDEX('Préstamos'!$K$2:$K$101,MATCH($A213,'Préstamos'!$A$2:$A$101,0))*(INDEX('Préstamos'!$G$2:$G$101,MATCH($A213,'Préstamos'!$A$2:$A$101,0))-1),INDEX('Préstamos'!$K$2:$K$101,MATCH($A213,'Préstamos'!$A$2:$A$101,0))))</f>
        <v/>
      </c>
      <c r="H213" s="29">
        <f>IF($A213="","",F213+G213)</f>
        <v/>
      </c>
      <c r="I213" s="14" t="n"/>
      <c r="J213" s="33" t="n"/>
      <c r="K213" s="16">
        <f>IF(OR($A213="",I213="Pagado"),"",MAX(0,TODAY()-E213))</f>
        <v/>
      </c>
      <c r="L213" s="16">
        <f>IF($A213="","",IF(I213="Pagado","Pagado",IF(E213&lt;TODAY(),"Atrasado",IF(E213&lt;=EOMONTH(TODAY(),0),"Este mes","Pendiente"))))</f>
        <v/>
      </c>
      <c r="M213" s="20">
        <f>IF(OR($A213="",I213="Pagado"),"",HYPERLINK("https://wa.me/"&amp;IF(INDEX('Préstamos'!$C$2:$C$101,MATCH($A213,'Préstamos'!$A$2:$A$101,0))="","","51"&amp;SUBSTITUTE(INDEX('Préstamos'!$C$2:$C$101,MATCH($A213,'Préstamos'!$A$2:$A$101,0))," ",""))&amp;"?text="&amp;SUBSTITUTE("Hola "&amp;B213&amp;", te recuerdo que tu cuota de S/ "&amp;H213&amp;IF(E213&lt;TODAY()," vencio el "," vence el ")&amp;TEXT(E213,"dd/mm")&amp;". Gracias!"," ","%20"),"WhatsApp"))</f>
        <v/>
      </c>
    </row>
    <row r="214">
      <c r="A214" s="14" t="n"/>
      <c r="B214" s="16">
        <f>IF($A214="","",INDEX('Préstamos'!$B$2:$B$101,MATCH($A214,'Préstamos'!$A$2:$A$101,0)))</f>
        <v/>
      </c>
      <c r="C214" s="14" t="n"/>
      <c r="D214" s="14" t="n"/>
      <c r="E214" s="33" t="n"/>
      <c r="F214" s="29">
        <f>IF($A214="","",IF(D214="Solo interés",0,IF(AND(D214&lt;&gt;"Solo interés",C214=INDEX('Préstamos'!$G$2:$G$101,MATCH($A214,'Préstamos'!$A$2:$A$101,0))),INDEX('Préstamos'!$D$2:$D$101,MATCH($A214,'Préstamos'!$A$2:$A$101,0))-INDEX('Préstamos'!$J$2:$J$101,MATCH($A214,'Préstamos'!$A$2:$A$101,0))*(INDEX('Préstamos'!$G$2:$G$101,MATCH($A214,'Préstamos'!$A$2:$A$101,0))-1),INDEX('Préstamos'!$J$2:$J$101,MATCH($A214,'Préstamos'!$A$2:$A$101,0)))))</f>
        <v/>
      </c>
      <c r="G214" s="29">
        <f>IF($A214="","",IF(AND(D214&lt;&gt;"Solo interés",C214=INDEX('Préstamos'!$G$2:$G$101,MATCH($A214,'Préstamos'!$A$2:$A$101,0))),INDEX('Préstamos'!$I$2:$I$101,MATCH($A214,'Préstamos'!$A$2:$A$101,0))-INDEX('Préstamos'!$K$2:$K$101,MATCH($A214,'Préstamos'!$A$2:$A$101,0))*(INDEX('Préstamos'!$G$2:$G$101,MATCH($A214,'Préstamos'!$A$2:$A$101,0))-1),INDEX('Préstamos'!$K$2:$K$101,MATCH($A214,'Préstamos'!$A$2:$A$101,0))))</f>
        <v/>
      </c>
      <c r="H214" s="29">
        <f>IF($A214="","",F214+G214)</f>
        <v/>
      </c>
      <c r="I214" s="14" t="n"/>
      <c r="J214" s="33" t="n"/>
      <c r="K214" s="16">
        <f>IF(OR($A214="",I214="Pagado"),"",MAX(0,TODAY()-E214))</f>
        <v/>
      </c>
      <c r="L214" s="16">
        <f>IF($A214="","",IF(I214="Pagado","Pagado",IF(E214&lt;TODAY(),"Atrasado",IF(E214&lt;=EOMONTH(TODAY(),0),"Este mes","Pendiente"))))</f>
        <v/>
      </c>
      <c r="M214" s="20">
        <f>IF(OR($A214="",I214="Pagado"),"",HYPERLINK("https://wa.me/"&amp;IF(INDEX('Préstamos'!$C$2:$C$101,MATCH($A214,'Préstamos'!$A$2:$A$101,0))="","","51"&amp;SUBSTITUTE(INDEX('Préstamos'!$C$2:$C$101,MATCH($A214,'Préstamos'!$A$2:$A$101,0))," ",""))&amp;"?text="&amp;SUBSTITUTE("Hola "&amp;B214&amp;", te recuerdo que tu cuota de S/ "&amp;H214&amp;IF(E214&lt;TODAY()," vencio el "," vence el ")&amp;TEXT(E214,"dd/mm")&amp;". Gracias!"," ","%20"),"WhatsApp"))</f>
        <v/>
      </c>
    </row>
    <row r="215">
      <c r="A215" s="14" t="n"/>
      <c r="B215" s="16">
        <f>IF($A215="","",INDEX('Préstamos'!$B$2:$B$101,MATCH($A215,'Préstamos'!$A$2:$A$101,0)))</f>
        <v/>
      </c>
      <c r="C215" s="14" t="n"/>
      <c r="D215" s="14" t="n"/>
      <c r="E215" s="33" t="n"/>
      <c r="F215" s="29">
        <f>IF($A215="","",IF(D215="Solo interés",0,IF(AND(D215&lt;&gt;"Solo interés",C215=INDEX('Préstamos'!$G$2:$G$101,MATCH($A215,'Préstamos'!$A$2:$A$101,0))),INDEX('Préstamos'!$D$2:$D$101,MATCH($A215,'Préstamos'!$A$2:$A$101,0))-INDEX('Préstamos'!$J$2:$J$101,MATCH($A215,'Préstamos'!$A$2:$A$101,0))*(INDEX('Préstamos'!$G$2:$G$101,MATCH($A215,'Préstamos'!$A$2:$A$101,0))-1),INDEX('Préstamos'!$J$2:$J$101,MATCH($A215,'Préstamos'!$A$2:$A$101,0)))))</f>
        <v/>
      </c>
      <c r="G215" s="29">
        <f>IF($A215="","",IF(AND(D215&lt;&gt;"Solo interés",C215=INDEX('Préstamos'!$G$2:$G$101,MATCH($A215,'Préstamos'!$A$2:$A$101,0))),INDEX('Préstamos'!$I$2:$I$101,MATCH($A215,'Préstamos'!$A$2:$A$101,0))-INDEX('Préstamos'!$K$2:$K$101,MATCH($A215,'Préstamos'!$A$2:$A$101,0))*(INDEX('Préstamos'!$G$2:$G$101,MATCH($A215,'Préstamos'!$A$2:$A$101,0))-1),INDEX('Préstamos'!$K$2:$K$101,MATCH($A215,'Préstamos'!$A$2:$A$101,0))))</f>
        <v/>
      </c>
      <c r="H215" s="29">
        <f>IF($A215="","",F215+G215)</f>
        <v/>
      </c>
      <c r="I215" s="14" t="n"/>
      <c r="J215" s="33" t="n"/>
      <c r="K215" s="16">
        <f>IF(OR($A215="",I215="Pagado"),"",MAX(0,TODAY()-E215))</f>
        <v/>
      </c>
      <c r="L215" s="16">
        <f>IF($A215="","",IF(I215="Pagado","Pagado",IF(E215&lt;TODAY(),"Atrasado",IF(E215&lt;=EOMONTH(TODAY(),0),"Este mes","Pendiente"))))</f>
        <v/>
      </c>
      <c r="M215" s="20">
        <f>IF(OR($A215="",I215="Pagado"),"",HYPERLINK("https://wa.me/"&amp;IF(INDEX('Préstamos'!$C$2:$C$101,MATCH($A215,'Préstamos'!$A$2:$A$101,0))="","","51"&amp;SUBSTITUTE(INDEX('Préstamos'!$C$2:$C$101,MATCH($A215,'Préstamos'!$A$2:$A$101,0))," ",""))&amp;"?text="&amp;SUBSTITUTE("Hola "&amp;B215&amp;", te recuerdo que tu cuota de S/ "&amp;H215&amp;IF(E215&lt;TODAY()," vencio el "," vence el ")&amp;TEXT(E215,"dd/mm")&amp;". Gracias!"," ","%20"),"WhatsApp"))</f>
        <v/>
      </c>
    </row>
    <row r="216">
      <c r="A216" s="14" t="n"/>
      <c r="B216" s="16">
        <f>IF($A216="","",INDEX('Préstamos'!$B$2:$B$101,MATCH($A216,'Préstamos'!$A$2:$A$101,0)))</f>
        <v/>
      </c>
      <c r="C216" s="14" t="n"/>
      <c r="D216" s="14" t="n"/>
      <c r="E216" s="33" t="n"/>
      <c r="F216" s="29">
        <f>IF($A216="","",IF(D216="Solo interés",0,IF(AND(D216&lt;&gt;"Solo interés",C216=INDEX('Préstamos'!$G$2:$G$101,MATCH($A216,'Préstamos'!$A$2:$A$101,0))),INDEX('Préstamos'!$D$2:$D$101,MATCH($A216,'Préstamos'!$A$2:$A$101,0))-INDEX('Préstamos'!$J$2:$J$101,MATCH($A216,'Préstamos'!$A$2:$A$101,0))*(INDEX('Préstamos'!$G$2:$G$101,MATCH($A216,'Préstamos'!$A$2:$A$101,0))-1),INDEX('Préstamos'!$J$2:$J$101,MATCH($A216,'Préstamos'!$A$2:$A$101,0)))))</f>
        <v/>
      </c>
      <c r="G216" s="29">
        <f>IF($A216="","",IF(AND(D216&lt;&gt;"Solo interés",C216=INDEX('Préstamos'!$G$2:$G$101,MATCH($A216,'Préstamos'!$A$2:$A$101,0))),INDEX('Préstamos'!$I$2:$I$101,MATCH($A216,'Préstamos'!$A$2:$A$101,0))-INDEX('Préstamos'!$K$2:$K$101,MATCH($A216,'Préstamos'!$A$2:$A$101,0))*(INDEX('Préstamos'!$G$2:$G$101,MATCH($A216,'Préstamos'!$A$2:$A$101,0))-1),INDEX('Préstamos'!$K$2:$K$101,MATCH($A216,'Préstamos'!$A$2:$A$101,0))))</f>
        <v/>
      </c>
      <c r="H216" s="29">
        <f>IF($A216="","",F216+G216)</f>
        <v/>
      </c>
      <c r="I216" s="14" t="n"/>
      <c r="J216" s="33" t="n"/>
      <c r="K216" s="16">
        <f>IF(OR($A216="",I216="Pagado"),"",MAX(0,TODAY()-E216))</f>
        <v/>
      </c>
      <c r="L216" s="16">
        <f>IF($A216="","",IF(I216="Pagado","Pagado",IF(E216&lt;TODAY(),"Atrasado",IF(E216&lt;=EOMONTH(TODAY(),0),"Este mes","Pendiente"))))</f>
        <v/>
      </c>
      <c r="M216" s="20">
        <f>IF(OR($A216="",I216="Pagado"),"",HYPERLINK("https://wa.me/"&amp;IF(INDEX('Préstamos'!$C$2:$C$101,MATCH($A216,'Préstamos'!$A$2:$A$101,0))="","","51"&amp;SUBSTITUTE(INDEX('Préstamos'!$C$2:$C$101,MATCH($A216,'Préstamos'!$A$2:$A$101,0))," ",""))&amp;"?text="&amp;SUBSTITUTE("Hola "&amp;B216&amp;", te recuerdo que tu cuota de S/ "&amp;H216&amp;IF(E216&lt;TODAY()," vencio el "," vence el ")&amp;TEXT(E216,"dd/mm")&amp;". Gracias!"," ","%20"),"WhatsApp"))</f>
        <v/>
      </c>
    </row>
    <row r="217">
      <c r="A217" s="14" t="n"/>
      <c r="B217" s="16">
        <f>IF($A217="","",INDEX('Préstamos'!$B$2:$B$101,MATCH($A217,'Préstamos'!$A$2:$A$101,0)))</f>
        <v/>
      </c>
      <c r="C217" s="14" t="n"/>
      <c r="D217" s="14" t="n"/>
      <c r="E217" s="33" t="n"/>
      <c r="F217" s="29">
        <f>IF($A217="","",IF(D217="Solo interés",0,IF(AND(D217&lt;&gt;"Solo interés",C217=INDEX('Préstamos'!$G$2:$G$101,MATCH($A217,'Préstamos'!$A$2:$A$101,0))),INDEX('Préstamos'!$D$2:$D$101,MATCH($A217,'Préstamos'!$A$2:$A$101,0))-INDEX('Préstamos'!$J$2:$J$101,MATCH($A217,'Préstamos'!$A$2:$A$101,0))*(INDEX('Préstamos'!$G$2:$G$101,MATCH($A217,'Préstamos'!$A$2:$A$101,0))-1),INDEX('Préstamos'!$J$2:$J$101,MATCH($A217,'Préstamos'!$A$2:$A$101,0)))))</f>
        <v/>
      </c>
      <c r="G217" s="29">
        <f>IF($A217="","",IF(AND(D217&lt;&gt;"Solo interés",C217=INDEX('Préstamos'!$G$2:$G$101,MATCH($A217,'Préstamos'!$A$2:$A$101,0))),INDEX('Préstamos'!$I$2:$I$101,MATCH($A217,'Préstamos'!$A$2:$A$101,0))-INDEX('Préstamos'!$K$2:$K$101,MATCH($A217,'Préstamos'!$A$2:$A$101,0))*(INDEX('Préstamos'!$G$2:$G$101,MATCH($A217,'Préstamos'!$A$2:$A$101,0))-1),INDEX('Préstamos'!$K$2:$K$101,MATCH($A217,'Préstamos'!$A$2:$A$101,0))))</f>
        <v/>
      </c>
      <c r="H217" s="29">
        <f>IF($A217="","",F217+G217)</f>
        <v/>
      </c>
      <c r="I217" s="14" t="n"/>
      <c r="J217" s="33" t="n"/>
      <c r="K217" s="16">
        <f>IF(OR($A217="",I217="Pagado"),"",MAX(0,TODAY()-E217))</f>
        <v/>
      </c>
      <c r="L217" s="16">
        <f>IF($A217="","",IF(I217="Pagado","Pagado",IF(E217&lt;TODAY(),"Atrasado",IF(E217&lt;=EOMONTH(TODAY(),0),"Este mes","Pendiente"))))</f>
        <v/>
      </c>
      <c r="M217" s="20">
        <f>IF(OR($A217="",I217="Pagado"),"",HYPERLINK("https://wa.me/"&amp;IF(INDEX('Préstamos'!$C$2:$C$101,MATCH($A217,'Préstamos'!$A$2:$A$101,0))="","","51"&amp;SUBSTITUTE(INDEX('Préstamos'!$C$2:$C$101,MATCH($A217,'Préstamos'!$A$2:$A$101,0))," ",""))&amp;"?text="&amp;SUBSTITUTE("Hola "&amp;B217&amp;", te recuerdo que tu cuota de S/ "&amp;H217&amp;IF(E217&lt;TODAY()," vencio el "," vence el ")&amp;TEXT(E217,"dd/mm")&amp;". Gracias!"," ","%20"),"WhatsApp"))</f>
        <v/>
      </c>
    </row>
    <row r="218">
      <c r="A218" s="14" t="n"/>
      <c r="B218" s="16">
        <f>IF($A218="","",INDEX('Préstamos'!$B$2:$B$101,MATCH($A218,'Préstamos'!$A$2:$A$101,0)))</f>
        <v/>
      </c>
      <c r="C218" s="14" t="n"/>
      <c r="D218" s="14" t="n"/>
      <c r="E218" s="33" t="n"/>
      <c r="F218" s="29">
        <f>IF($A218="","",IF(D218="Solo interés",0,IF(AND(D218&lt;&gt;"Solo interés",C218=INDEX('Préstamos'!$G$2:$G$101,MATCH($A218,'Préstamos'!$A$2:$A$101,0))),INDEX('Préstamos'!$D$2:$D$101,MATCH($A218,'Préstamos'!$A$2:$A$101,0))-INDEX('Préstamos'!$J$2:$J$101,MATCH($A218,'Préstamos'!$A$2:$A$101,0))*(INDEX('Préstamos'!$G$2:$G$101,MATCH($A218,'Préstamos'!$A$2:$A$101,0))-1),INDEX('Préstamos'!$J$2:$J$101,MATCH($A218,'Préstamos'!$A$2:$A$101,0)))))</f>
        <v/>
      </c>
      <c r="G218" s="29">
        <f>IF($A218="","",IF(AND(D218&lt;&gt;"Solo interés",C218=INDEX('Préstamos'!$G$2:$G$101,MATCH($A218,'Préstamos'!$A$2:$A$101,0))),INDEX('Préstamos'!$I$2:$I$101,MATCH($A218,'Préstamos'!$A$2:$A$101,0))-INDEX('Préstamos'!$K$2:$K$101,MATCH($A218,'Préstamos'!$A$2:$A$101,0))*(INDEX('Préstamos'!$G$2:$G$101,MATCH($A218,'Préstamos'!$A$2:$A$101,0))-1),INDEX('Préstamos'!$K$2:$K$101,MATCH($A218,'Préstamos'!$A$2:$A$101,0))))</f>
        <v/>
      </c>
      <c r="H218" s="29">
        <f>IF($A218="","",F218+G218)</f>
        <v/>
      </c>
      <c r="I218" s="14" t="n"/>
      <c r="J218" s="33" t="n"/>
      <c r="K218" s="16">
        <f>IF(OR($A218="",I218="Pagado"),"",MAX(0,TODAY()-E218))</f>
        <v/>
      </c>
      <c r="L218" s="16">
        <f>IF($A218="","",IF(I218="Pagado","Pagado",IF(E218&lt;TODAY(),"Atrasado",IF(E218&lt;=EOMONTH(TODAY(),0),"Este mes","Pendiente"))))</f>
        <v/>
      </c>
      <c r="M218" s="20">
        <f>IF(OR($A218="",I218="Pagado"),"",HYPERLINK("https://wa.me/"&amp;IF(INDEX('Préstamos'!$C$2:$C$101,MATCH($A218,'Préstamos'!$A$2:$A$101,0))="","","51"&amp;SUBSTITUTE(INDEX('Préstamos'!$C$2:$C$101,MATCH($A218,'Préstamos'!$A$2:$A$101,0))," ",""))&amp;"?text="&amp;SUBSTITUTE("Hola "&amp;B218&amp;", te recuerdo que tu cuota de S/ "&amp;H218&amp;IF(E218&lt;TODAY()," vencio el "," vence el ")&amp;TEXT(E218,"dd/mm")&amp;". Gracias!"," ","%20"),"WhatsApp"))</f>
        <v/>
      </c>
    </row>
    <row r="219">
      <c r="A219" s="14" t="n"/>
      <c r="B219" s="16">
        <f>IF($A219="","",INDEX('Préstamos'!$B$2:$B$101,MATCH($A219,'Préstamos'!$A$2:$A$101,0)))</f>
        <v/>
      </c>
      <c r="C219" s="14" t="n"/>
      <c r="D219" s="14" t="n"/>
      <c r="E219" s="33" t="n"/>
      <c r="F219" s="29">
        <f>IF($A219="","",IF(D219="Solo interés",0,IF(AND(D219&lt;&gt;"Solo interés",C219=INDEX('Préstamos'!$G$2:$G$101,MATCH($A219,'Préstamos'!$A$2:$A$101,0))),INDEX('Préstamos'!$D$2:$D$101,MATCH($A219,'Préstamos'!$A$2:$A$101,0))-INDEX('Préstamos'!$J$2:$J$101,MATCH($A219,'Préstamos'!$A$2:$A$101,0))*(INDEX('Préstamos'!$G$2:$G$101,MATCH($A219,'Préstamos'!$A$2:$A$101,0))-1),INDEX('Préstamos'!$J$2:$J$101,MATCH($A219,'Préstamos'!$A$2:$A$101,0)))))</f>
        <v/>
      </c>
      <c r="G219" s="29">
        <f>IF($A219="","",IF(AND(D219&lt;&gt;"Solo interés",C219=INDEX('Préstamos'!$G$2:$G$101,MATCH($A219,'Préstamos'!$A$2:$A$101,0))),INDEX('Préstamos'!$I$2:$I$101,MATCH($A219,'Préstamos'!$A$2:$A$101,0))-INDEX('Préstamos'!$K$2:$K$101,MATCH($A219,'Préstamos'!$A$2:$A$101,0))*(INDEX('Préstamos'!$G$2:$G$101,MATCH($A219,'Préstamos'!$A$2:$A$101,0))-1),INDEX('Préstamos'!$K$2:$K$101,MATCH($A219,'Préstamos'!$A$2:$A$101,0))))</f>
        <v/>
      </c>
      <c r="H219" s="29">
        <f>IF($A219="","",F219+G219)</f>
        <v/>
      </c>
      <c r="I219" s="14" t="n"/>
      <c r="J219" s="33" t="n"/>
      <c r="K219" s="16">
        <f>IF(OR($A219="",I219="Pagado"),"",MAX(0,TODAY()-E219))</f>
        <v/>
      </c>
      <c r="L219" s="16">
        <f>IF($A219="","",IF(I219="Pagado","Pagado",IF(E219&lt;TODAY(),"Atrasado",IF(E219&lt;=EOMONTH(TODAY(),0),"Este mes","Pendiente"))))</f>
        <v/>
      </c>
      <c r="M219" s="20">
        <f>IF(OR($A219="",I219="Pagado"),"",HYPERLINK("https://wa.me/"&amp;IF(INDEX('Préstamos'!$C$2:$C$101,MATCH($A219,'Préstamos'!$A$2:$A$101,0))="","","51"&amp;SUBSTITUTE(INDEX('Préstamos'!$C$2:$C$101,MATCH($A219,'Préstamos'!$A$2:$A$101,0))," ",""))&amp;"?text="&amp;SUBSTITUTE("Hola "&amp;B219&amp;", te recuerdo que tu cuota de S/ "&amp;H219&amp;IF(E219&lt;TODAY()," vencio el "," vence el ")&amp;TEXT(E219,"dd/mm")&amp;". Gracias!"," ","%20"),"WhatsApp"))</f>
        <v/>
      </c>
    </row>
    <row r="220">
      <c r="A220" s="14" t="n"/>
      <c r="B220" s="16">
        <f>IF($A220="","",INDEX('Préstamos'!$B$2:$B$101,MATCH($A220,'Préstamos'!$A$2:$A$101,0)))</f>
        <v/>
      </c>
      <c r="C220" s="14" t="n"/>
      <c r="D220" s="14" t="n"/>
      <c r="E220" s="33" t="n"/>
      <c r="F220" s="29">
        <f>IF($A220="","",IF(D220="Solo interés",0,IF(AND(D220&lt;&gt;"Solo interés",C220=INDEX('Préstamos'!$G$2:$G$101,MATCH($A220,'Préstamos'!$A$2:$A$101,0))),INDEX('Préstamos'!$D$2:$D$101,MATCH($A220,'Préstamos'!$A$2:$A$101,0))-INDEX('Préstamos'!$J$2:$J$101,MATCH($A220,'Préstamos'!$A$2:$A$101,0))*(INDEX('Préstamos'!$G$2:$G$101,MATCH($A220,'Préstamos'!$A$2:$A$101,0))-1),INDEX('Préstamos'!$J$2:$J$101,MATCH($A220,'Préstamos'!$A$2:$A$101,0)))))</f>
        <v/>
      </c>
      <c r="G220" s="29">
        <f>IF($A220="","",IF(AND(D220&lt;&gt;"Solo interés",C220=INDEX('Préstamos'!$G$2:$G$101,MATCH($A220,'Préstamos'!$A$2:$A$101,0))),INDEX('Préstamos'!$I$2:$I$101,MATCH($A220,'Préstamos'!$A$2:$A$101,0))-INDEX('Préstamos'!$K$2:$K$101,MATCH($A220,'Préstamos'!$A$2:$A$101,0))*(INDEX('Préstamos'!$G$2:$G$101,MATCH($A220,'Préstamos'!$A$2:$A$101,0))-1),INDEX('Préstamos'!$K$2:$K$101,MATCH($A220,'Préstamos'!$A$2:$A$101,0))))</f>
        <v/>
      </c>
      <c r="H220" s="29">
        <f>IF($A220="","",F220+G220)</f>
        <v/>
      </c>
      <c r="I220" s="14" t="n"/>
      <c r="J220" s="33" t="n"/>
      <c r="K220" s="16">
        <f>IF(OR($A220="",I220="Pagado"),"",MAX(0,TODAY()-E220))</f>
        <v/>
      </c>
      <c r="L220" s="16">
        <f>IF($A220="","",IF(I220="Pagado","Pagado",IF(E220&lt;TODAY(),"Atrasado",IF(E220&lt;=EOMONTH(TODAY(),0),"Este mes","Pendiente"))))</f>
        <v/>
      </c>
      <c r="M220" s="20">
        <f>IF(OR($A220="",I220="Pagado"),"",HYPERLINK("https://wa.me/"&amp;IF(INDEX('Préstamos'!$C$2:$C$101,MATCH($A220,'Préstamos'!$A$2:$A$101,0))="","","51"&amp;SUBSTITUTE(INDEX('Préstamos'!$C$2:$C$101,MATCH($A220,'Préstamos'!$A$2:$A$101,0))," ",""))&amp;"?text="&amp;SUBSTITUTE("Hola "&amp;B220&amp;", te recuerdo que tu cuota de S/ "&amp;H220&amp;IF(E220&lt;TODAY()," vencio el "," vence el ")&amp;TEXT(E220,"dd/mm")&amp;". Gracias!"," ","%20"),"WhatsApp"))</f>
        <v/>
      </c>
    </row>
    <row r="221">
      <c r="A221" s="14" t="n"/>
      <c r="B221" s="16">
        <f>IF($A221="","",INDEX('Préstamos'!$B$2:$B$101,MATCH($A221,'Préstamos'!$A$2:$A$101,0)))</f>
        <v/>
      </c>
      <c r="C221" s="14" t="n"/>
      <c r="D221" s="14" t="n"/>
      <c r="E221" s="33" t="n"/>
      <c r="F221" s="29">
        <f>IF($A221="","",IF(D221="Solo interés",0,IF(AND(D221&lt;&gt;"Solo interés",C221=INDEX('Préstamos'!$G$2:$G$101,MATCH($A221,'Préstamos'!$A$2:$A$101,0))),INDEX('Préstamos'!$D$2:$D$101,MATCH($A221,'Préstamos'!$A$2:$A$101,0))-INDEX('Préstamos'!$J$2:$J$101,MATCH($A221,'Préstamos'!$A$2:$A$101,0))*(INDEX('Préstamos'!$G$2:$G$101,MATCH($A221,'Préstamos'!$A$2:$A$101,0))-1),INDEX('Préstamos'!$J$2:$J$101,MATCH($A221,'Préstamos'!$A$2:$A$101,0)))))</f>
        <v/>
      </c>
      <c r="G221" s="29">
        <f>IF($A221="","",IF(AND(D221&lt;&gt;"Solo interés",C221=INDEX('Préstamos'!$G$2:$G$101,MATCH($A221,'Préstamos'!$A$2:$A$101,0))),INDEX('Préstamos'!$I$2:$I$101,MATCH($A221,'Préstamos'!$A$2:$A$101,0))-INDEX('Préstamos'!$K$2:$K$101,MATCH($A221,'Préstamos'!$A$2:$A$101,0))*(INDEX('Préstamos'!$G$2:$G$101,MATCH($A221,'Préstamos'!$A$2:$A$101,0))-1),INDEX('Préstamos'!$K$2:$K$101,MATCH($A221,'Préstamos'!$A$2:$A$101,0))))</f>
        <v/>
      </c>
      <c r="H221" s="29">
        <f>IF($A221="","",F221+G221)</f>
        <v/>
      </c>
      <c r="I221" s="14" t="n"/>
      <c r="J221" s="33" t="n"/>
      <c r="K221" s="16">
        <f>IF(OR($A221="",I221="Pagado"),"",MAX(0,TODAY()-E221))</f>
        <v/>
      </c>
      <c r="L221" s="16">
        <f>IF($A221="","",IF(I221="Pagado","Pagado",IF(E221&lt;TODAY(),"Atrasado",IF(E221&lt;=EOMONTH(TODAY(),0),"Este mes","Pendiente"))))</f>
        <v/>
      </c>
      <c r="M221" s="20">
        <f>IF(OR($A221="",I221="Pagado"),"",HYPERLINK("https://wa.me/"&amp;IF(INDEX('Préstamos'!$C$2:$C$101,MATCH($A221,'Préstamos'!$A$2:$A$101,0))="","","51"&amp;SUBSTITUTE(INDEX('Préstamos'!$C$2:$C$101,MATCH($A221,'Préstamos'!$A$2:$A$101,0))," ",""))&amp;"?text="&amp;SUBSTITUTE("Hola "&amp;B221&amp;", te recuerdo que tu cuota de S/ "&amp;H221&amp;IF(E221&lt;TODAY()," vencio el "," vence el ")&amp;TEXT(E221,"dd/mm")&amp;". Gracias!"," ","%20"),"WhatsApp"))</f>
        <v/>
      </c>
    </row>
    <row r="222">
      <c r="A222" s="14" t="n"/>
      <c r="B222" s="16">
        <f>IF($A222="","",INDEX('Préstamos'!$B$2:$B$101,MATCH($A222,'Préstamos'!$A$2:$A$101,0)))</f>
        <v/>
      </c>
      <c r="C222" s="14" t="n"/>
      <c r="D222" s="14" t="n"/>
      <c r="E222" s="33" t="n"/>
      <c r="F222" s="29">
        <f>IF($A222="","",IF(D222="Solo interés",0,IF(AND(D222&lt;&gt;"Solo interés",C222=INDEX('Préstamos'!$G$2:$G$101,MATCH($A222,'Préstamos'!$A$2:$A$101,0))),INDEX('Préstamos'!$D$2:$D$101,MATCH($A222,'Préstamos'!$A$2:$A$101,0))-INDEX('Préstamos'!$J$2:$J$101,MATCH($A222,'Préstamos'!$A$2:$A$101,0))*(INDEX('Préstamos'!$G$2:$G$101,MATCH($A222,'Préstamos'!$A$2:$A$101,0))-1),INDEX('Préstamos'!$J$2:$J$101,MATCH($A222,'Préstamos'!$A$2:$A$101,0)))))</f>
        <v/>
      </c>
      <c r="G222" s="29">
        <f>IF($A222="","",IF(AND(D222&lt;&gt;"Solo interés",C222=INDEX('Préstamos'!$G$2:$G$101,MATCH($A222,'Préstamos'!$A$2:$A$101,0))),INDEX('Préstamos'!$I$2:$I$101,MATCH($A222,'Préstamos'!$A$2:$A$101,0))-INDEX('Préstamos'!$K$2:$K$101,MATCH($A222,'Préstamos'!$A$2:$A$101,0))*(INDEX('Préstamos'!$G$2:$G$101,MATCH($A222,'Préstamos'!$A$2:$A$101,0))-1),INDEX('Préstamos'!$K$2:$K$101,MATCH($A222,'Préstamos'!$A$2:$A$101,0))))</f>
        <v/>
      </c>
      <c r="H222" s="29">
        <f>IF($A222="","",F222+G222)</f>
        <v/>
      </c>
      <c r="I222" s="14" t="n"/>
      <c r="J222" s="33" t="n"/>
      <c r="K222" s="16">
        <f>IF(OR($A222="",I222="Pagado"),"",MAX(0,TODAY()-E222))</f>
        <v/>
      </c>
      <c r="L222" s="16">
        <f>IF($A222="","",IF(I222="Pagado","Pagado",IF(E222&lt;TODAY(),"Atrasado",IF(E222&lt;=EOMONTH(TODAY(),0),"Este mes","Pendiente"))))</f>
        <v/>
      </c>
      <c r="M222" s="20">
        <f>IF(OR($A222="",I222="Pagado"),"",HYPERLINK("https://wa.me/"&amp;IF(INDEX('Préstamos'!$C$2:$C$101,MATCH($A222,'Préstamos'!$A$2:$A$101,0))="","","51"&amp;SUBSTITUTE(INDEX('Préstamos'!$C$2:$C$101,MATCH($A222,'Préstamos'!$A$2:$A$101,0))," ",""))&amp;"?text="&amp;SUBSTITUTE("Hola "&amp;B222&amp;", te recuerdo que tu cuota de S/ "&amp;H222&amp;IF(E222&lt;TODAY()," vencio el "," vence el ")&amp;TEXT(E222,"dd/mm")&amp;". Gracias!"," ","%20"),"WhatsApp"))</f>
        <v/>
      </c>
    </row>
    <row r="223">
      <c r="A223" s="14" t="n"/>
      <c r="B223" s="16">
        <f>IF($A223="","",INDEX('Préstamos'!$B$2:$B$101,MATCH($A223,'Préstamos'!$A$2:$A$101,0)))</f>
        <v/>
      </c>
      <c r="C223" s="14" t="n"/>
      <c r="D223" s="14" t="n"/>
      <c r="E223" s="33" t="n"/>
      <c r="F223" s="29">
        <f>IF($A223="","",IF(D223="Solo interés",0,IF(AND(D223&lt;&gt;"Solo interés",C223=INDEX('Préstamos'!$G$2:$G$101,MATCH($A223,'Préstamos'!$A$2:$A$101,0))),INDEX('Préstamos'!$D$2:$D$101,MATCH($A223,'Préstamos'!$A$2:$A$101,0))-INDEX('Préstamos'!$J$2:$J$101,MATCH($A223,'Préstamos'!$A$2:$A$101,0))*(INDEX('Préstamos'!$G$2:$G$101,MATCH($A223,'Préstamos'!$A$2:$A$101,0))-1),INDEX('Préstamos'!$J$2:$J$101,MATCH($A223,'Préstamos'!$A$2:$A$101,0)))))</f>
        <v/>
      </c>
      <c r="G223" s="29">
        <f>IF($A223="","",IF(AND(D223&lt;&gt;"Solo interés",C223=INDEX('Préstamos'!$G$2:$G$101,MATCH($A223,'Préstamos'!$A$2:$A$101,0))),INDEX('Préstamos'!$I$2:$I$101,MATCH($A223,'Préstamos'!$A$2:$A$101,0))-INDEX('Préstamos'!$K$2:$K$101,MATCH($A223,'Préstamos'!$A$2:$A$101,0))*(INDEX('Préstamos'!$G$2:$G$101,MATCH($A223,'Préstamos'!$A$2:$A$101,0))-1),INDEX('Préstamos'!$K$2:$K$101,MATCH($A223,'Préstamos'!$A$2:$A$101,0))))</f>
        <v/>
      </c>
      <c r="H223" s="29">
        <f>IF($A223="","",F223+G223)</f>
        <v/>
      </c>
      <c r="I223" s="14" t="n"/>
      <c r="J223" s="33" t="n"/>
      <c r="K223" s="16">
        <f>IF(OR($A223="",I223="Pagado"),"",MAX(0,TODAY()-E223))</f>
        <v/>
      </c>
      <c r="L223" s="16">
        <f>IF($A223="","",IF(I223="Pagado","Pagado",IF(E223&lt;TODAY(),"Atrasado",IF(E223&lt;=EOMONTH(TODAY(),0),"Este mes","Pendiente"))))</f>
        <v/>
      </c>
      <c r="M223" s="20">
        <f>IF(OR($A223="",I223="Pagado"),"",HYPERLINK("https://wa.me/"&amp;IF(INDEX('Préstamos'!$C$2:$C$101,MATCH($A223,'Préstamos'!$A$2:$A$101,0))="","","51"&amp;SUBSTITUTE(INDEX('Préstamos'!$C$2:$C$101,MATCH($A223,'Préstamos'!$A$2:$A$101,0))," ",""))&amp;"?text="&amp;SUBSTITUTE("Hola "&amp;B223&amp;", te recuerdo que tu cuota de S/ "&amp;H223&amp;IF(E223&lt;TODAY()," vencio el "," vence el ")&amp;TEXT(E223,"dd/mm")&amp;". Gracias!"," ","%20"),"WhatsApp"))</f>
        <v/>
      </c>
    </row>
    <row r="224">
      <c r="A224" s="14" t="n"/>
      <c r="B224" s="16">
        <f>IF($A224="","",INDEX('Préstamos'!$B$2:$B$101,MATCH($A224,'Préstamos'!$A$2:$A$101,0)))</f>
        <v/>
      </c>
      <c r="C224" s="14" t="n"/>
      <c r="D224" s="14" t="n"/>
      <c r="E224" s="33" t="n"/>
      <c r="F224" s="29">
        <f>IF($A224="","",IF(D224="Solo interés",0,IF(AND(D224&lt;&gt;"Solo interés",C224=INDEX('Préstamos'!$G$2:$G$101,MATCH($A224,'Préstamos'!$A$2:$A$101,0))),INDEX('Préstamos'!$D$2:$D$101,MATCH($A224,'Préstamos'!$A$2:$A$101,0))-INDEX('Préstamos'!$J$2:$J$101,MATCH($A224,'Préstamos'!$A$2:$A$101,0))*(INDEX('Préstamos'!$G$2:$G$101,MATCH($A224,'Préstamos'!$A$2:$A$101,0))-1),INDEX('Préstamos'!$J$2:$J$101,MATCH($A224,'Préstamos'!$A$2:$A$101,0)))))</f>
        <v/>
      </c>
      <c r="G224" s="29">
        <f>IF($A224="","",IF(AND(D224&lt;&gt;"Solo interés",C224=INDEX('Préstamos'!$G$2:$G$101,MATCH($A224,'Préstamos'!$A$2:$A$101,0))),INDEX('Préstamos'!$I$2:$I$101,MATCH($A224,'Préstamos'!$A$2:$A$101,0))-INDEX('Préstamos'!$K$2:$K$101,MATCH($A224,'Préstamos'!$A$2:$A$101,0))*(INDEX('Préstamos'!$G$2:$G$101,MATCH($A224,'Préstamos'!$A$2:$A$101,0))-1),INDEX('Préstamos'!$K$2:$K$101,MATCH($A224,'Préstamos'!$A$2:$A$101,0))))</f>
        <v/>
      </c>
      <c r="H224" s="29">
        <f>IF($A224="","",F224+G224)</f>
        <v/>
      </c>
      <c r="I224" s="14" t="n"/>
      <c r="J224" s="33" t="n"/>
      <c r="K224" s="16">
        <f>IF(OR($A224="",I224="Pagado"),"",MAX(0,TODAY()-E224))</f>
        <v/>
      </c>
      <c r="L224" s="16">
        <f>IF($A224="","",IF(I224="Pagado","Pagado",IF(E224&lt;TODAY(),"Atrasado",IF(E224&lt;=EOMONTH(TODAY(),0),"Este mes","Pendiente"))))</f>
        <v/>
      </c>
      <c r="M224" s="20">
        <f>IF(OR($A224="",I224="Pagado"),"",HYPERLINK("https://wa.me/"&amp;IF(INDEX('Préstamos'!$C$2:$C$101,MATCH($A224,'Préstamos'!$A$2:$A$101,0))="","","51"&amp;SUBSTITUTE(INDEX('Préstamos'!$C$2:$C$101,MATCH($A224,'Préstamos'!$A$2:$A$101,0))," ",""))&amp;"?text="&amp;SUBSTITUTE("Hola "&amp;B224&amp;", te recuerdo que tu cuota de S/ "&amp;H224&amp;IF(E224&lt;TODAY()," vencio el "," vence el ")&amp;TEXT(E224,"dd/mm")&amp;". Gracias!"," ","%20"),"WhatsApp"))</f>
        <v/>
      </c>
    </row>
    <row r="225">
      <c r="A225" s="14" t="n"/>
      <c r="B225" s="16">
        <f>IF($A225="","",INDEX('Préstamos'!$B$2:$B$101,MATCH($A225,'Préstamos'!$A$2:$A$101,0)))</f>
        <v/>
      </c>
      <c r="C225" s="14" t="n"/>
      <c r="D225" s="14" t="n"/>
      <c r="E225" s="33" t="n"/>
      <c r="F225" s="29">
        <f>IF($A225="","",IF(D225="Solo interés",0,IF(AND(D225&lt;&gt;"Solo interés",C225=INDEX('Préstamos'!$G$2:$G$101,MATCH($A225,'Préstamos'!$A$2:$A$101,0))),INDEX('Préstamos'!$D$2:$D$101,MATCH($A225,'Préstamos'!$A$2:$A$101,0))-INDEX('Préstamos'!$J$2:$J$101,MATCH($A225,'Préstamos'!$A$2:$A$101,0))*(INDEX('Préstamos'!$G$2:$G$101,MATCH($A225,'Préstamos'!$A$2:$A$101,0))-1),INDEX('Préstamos'!$J$2:$J$101,MATCH($A225,'Préstamos'!$A$2:$A$101,0)))))</f>
        <v/>
      </c>
      <c r="G225" s="29">
        <f>IF($A225="","",IF(AND(D225&lt;&gt;"Solo interés",C225=INDEX('Préstamos'!$G$2:$G$101,MATCH($A225,'Préstamos'!$A$2:$A$101,0))),INDEX('Préstamos'!$I$2:$I$101,MATCH($A225,'Préstamos'!$A$2:$A$101,0))-INDEX('Préstamos'!$K$2:$K$101,MATCH($A225,'Préstamos'!$A$2:$A$101,0))*(INDEX('Préstamos'!$G$2:$G$101,MATCH($A225,'Préstamos'!$A$2:$A$101,0))-1),INDEX('Préstamos'!$K$2:$K$101,MATCH($A225,'Préstamos'!$A$2:$A$101,0))))</f>
        <v/>
      </c>
      <c r="H225" s="29">
        <f>IF($A225="","",F225+G225)</f>
        <v/>
      </c>
      <c r="I225" s="14" t="n"/>
      <c r="J225" s="33" t="n"/>
      <c r="K225" s="16">
        <f>IF(OR($A225="",I225="Pagado"),"",MAX(0,TODAY()-E225))</f>
        <v/>
      </c>
      <c r="L225" s="16">
        <f>IF($A225="","",IF(I225="Pagado","Pagado",IF(E225&lt;TODAY(),"Atrasado",IF(E225&lt;=EOMONTH(TODAY(),0),"Este mes","Pendiente"))))</f>
        <v/>
      </c>
      <c r="M225" s="20">
        <f>IF(OR($A225="",I225="Pagado"),"",HYPERLINK("https://wa.me/"&amp;IF(INDEX('Préstamos'!$C$2:$C$101,MATCH($A225,'Préstamos'!$A$2:$A$101,0))="","","51"&amp;SUBSTITUTE(INDEX('Préstamos'!$C$2:$C$101,MATCH($A225,'Préstamos'!$A$2:$A$101,0))," ",""))&amp;"?text="&amp;SUBSTITUTE("Hola "&amp;B225&amp;", te recuerdo que tu cuota de S/ "&amp;H225&amp;IF(E225&lt;TODAY()," vencio el "," vence el ")&amp;TEXT(E225,"dd/mm")&amp;". Gracias!"," ","%20"),"WhatsApp"))</f>
        <v/>
      </c>
    </row>
    <row r="226">
      <c r="A226" s="14" t="n"/>
      <c r="B226" s="16">
        <f>IF($A226="","",INDEX('Préstamos'!$B$2:$B$101,MATCH($A226,'Préstamos'!$A$2:$A$101,0)))</f>
        <v/>
      </c>
      <c r="C226" s="14" t="n"/>
      <c r="D226" s="14" t="n"/>
      <c r="E226" s="33" t="n"/>
      <c r="F226" s="29">
        <f>IF($A226="","",IF(D226="Solo interés",0,IF(AND(D226&lt;&gt;"Solo interés",C226=INDEX('Préstamos'!$G$2:$G$101,MATCH($A226,'Préstamos'!$A$2:$A$101,0))),INDEX('Préstamos'!$D$2:$D$101,MATCH($A226,'Préstamos'!$A$2:$A$101,0))-INDEX('Préstamos'!$J$2:$J$101,MATCH($A226,'Préstamos'!$A$2:$A$101,0))*(INDEX('Préstamos'!$G$2:$G$101,MATCH($A226,'Préstamos'!$A$2:$A$101,0))-1),INDEX('Préstamos'!$J$2:$J$101,MATCH($A226,'Préstamos'!$A$2:$A$101,0)))))</f>
        <v/>
      </c>
      <c r="G226" s="29">
        <f>IF($A226="","",IF(AND(D226&lt;&gt;"Solo interés",C226=INDEX('Préstamos'!$G$2:$G$101,MATCH($A226,'Préstamos'!$A$2:$A$101,0))),INDEX('Préstamos'!$I$2:$I$101,MATCH($A226,'Préstamos'!$A$2:$A$101,0))-INDEX('Préstamos'!$K$2:$K$101,MATCH($A226,'Préstamos'!$A$2:$A$101,0))*(INDEX('Préstamos'!$G$2:$G$101,MATCH($A226,'Préstamos'!$A$2:$A$101,0))-1),INDEX('Préstamos'!$K$2:$K$101,MATCH($A226,'Préstamos'!$A$2:$A$101,0))))</f>
        <v/>
      </c>
      <c r="H226" s="29">
        <f>IF($A226="","",F226+G226)</f>
        <v/>
      </c>
      <c r="I226" s="14" t="n"/>
      <c r="J226" s="33" t="n"/>
      <c r="K226" s="16">
        <f>IF(OR($A226="",I226="Pagado"),"",MAX(0,TODAY()-E226))</f>
        <v/>
      </c>
      <c r="L226" s="16">
        <f>IF($A226="","",IF(I226="Pagado","Pagado",IF(E226&lt;TODAY(),"Atrasado",IF(E226&lt;=EOMONTH(TODAY(),0),"Este mes","Pendiente"))))</f>
        <v/>
      </c>
      <c r="M226" s="20">
        <f>IF(OR($A226="",I226="Pagado"),"",HYPERLINK("https://wa.me/"&amp;IF(INDEX('Préstamos'!$C$2:$C$101,MATCH($A226,'Préstamos'!$A$2:$A$101,0))="","","51"&amp;SUBSTITUTE(INDEX('Préstamos'!$C$2:$C$101,MATCH($A226,'Préstamos'!$A$2:$A$101,0))," ",""))&amp;"?text="&amp;SUBSTITUTE("Hola "&amp;B226&amp;", te recuerdo que tu cuota de S/ "&amp;H226&amp;IF(E226&lt;TODAY()," vencio el "," vence el ")&amp;TEXT(E226,"dd/mm")&amp;". Gracias!"," ","%20"),"WhatsApp"))</f>
        <v/>
      </c>
    </row>
    <row r="227">
      <c r="A227" s="14" t="n"/>
      <c r="B227" s="16">
        <f>IF($A227="","",INDEX('Préstamos'!$B$2:$B$101,MATCH($A227,'Préstamos'!$A$2:$A$101,0)))</f>
        <v/>
      </c>
      <c r="C227" s="14" t="n"/>
      <c r="D227" s="14" t="n"/>
      <c r="E227" s="33" t="n"/>
      <c r="F227" s="29">
        <f>IF($A227="","",IF(D227="Solo interés",0,IF(AND(D227&lt;&gt;"Solo interés",C227=INDEX('Préstamos'!$G$2:$G$101,MATCH($A227,'Préstamos'!$A$2:$A$101,0))),INDEX('Préstamos'!$D$2:$D$101,MATCH($A227,'Préstamos'!$A$2:$A$101,0))-INDEX('Préstamos'!$J$2:$J$101,MATCH($A227,'Préstamos'!$A$2:$A$101,0))*(INDEX('Préstamos'!$G$2:$G$101,MATCH($A227,'Préstamos'!$A$2:$A$101,0))-1),INDEX('Préstamos'!$J$2:$J$101,MATCH($A227,'Préstamos'!$A$2:$A$101,0)))))</f>
        <v/>
      </c>
      <c r="G227" s="29">
        <f>IF($A227="","",IF(AND(D227&lt;&gt;"Solo interés",C227=INDEX('Préstamos'!$G$2:$G$101,MATCH($A227,'Préstamos'!$A$2:$A$101,0))),INDEX('Préstamos'!$I$2:$I$101,MATCH($A227,'Préstamos'!$A$2:$A$101,0))-INDEX('Préstamos'!$K$2:$K$101,MATCH($A227,'Préstamos'!$A$2:$A$101,0))*(INDEX('Préstamos'!$G$2:$G$101,MATCH($A227,'Préstamos'!$A$2:$A$101,0))-1),INDEX('Préstamos'!$K$2:$K$101,MATCH($A227,'Préstamos'!$A$2:$A$101,0))))</f>
        <v/>
      </c>
      <c r="H227" s="29">
        <f>IF($A227="","",F227+G227)</f>
        <v/>
      </c>
      <c r="I227" s="14" t="n"/>
      <c r="J227" s="33" t="n"/>
      <c r="K227" s="16">
        <f>IF(OR($A227="",I227="Pagado"),"",MAX(0,TODAY()-E227))</f>
        <v/>
      </c>
      <c r="L227" s="16">
        <f>IF($A227="","",IF(I227="Pagado","Pagado",IF(E227&lt;TODAY(),"Atrasado",IF(E227&lt;=EOMONTH(TODAY(),0),"Este mes","Pendiente"))))</f>
        <v/>
      </c>
      <c r="M227" s="20">
        <f>IF(OR($A227="",I227="Pagado"),"",HYPERLINK("https://wa.me/"&amp;IF(INDEX('Préstamos'!$C$2:$C$101,MATCH($A227,'Préstamos'!$A$2:$A$101,0))="","","51"&amp;SUBSTITUTE(INDEX('Préstamos'!$C$2:$C$101,MATCH($A227,'Préstamos'!$A$2:$A$101,0))," ",""))&amp;"?text="&amp;SUBSTITUTE("Hola "&amp;B227&amp;", te recuerdo que tu cuota de S/ "&amp;H227&amp;IF(E227&lt;TODAY()," vencio el "," vence el ")&amp;TEXT(E227,"dd/mm")&amp;". Gracias!"," ","%20"),"WhatsApp"))</f>
        <v/>
      </c>
    </row>
    <row r="228">
      <c r="A228" s="14" t="n"/>
      <c r="B228" s="16">
        <f>IF($A228="","",INDEX('Préstamos'!$B$2:$B$101,MATCH($A228,'Préstamos'!$A$2:$A$101,0)))</f>
        <v/>
      </c>
      <c r="C228" s="14" t="n"/>
      <c r="D228" s="14" t="n"/>
      <c r="E228" s="33" t="n"/>
      <c r="F228" s="29">
        <f>IF($A228="","",IF(D228="Solo interés",0,IF(AND(D228&lt;&gt;"Solo interés",C228=INDEX('Préstamos'!$G$2:$G$101,MATCH($A228,'Préstamos'!$A$2:$A$101,0))),INDEX('Préstamos'!$D$2:$D$101,MATCH($A228,'Préstamos'!$A$2:$A$101,0))-INDEX('Préstamos'!$J$2:$J$101,MATCH($A228,'Préstamos'!$A$2:$A$101,0))*(INDEX('Préstamos'!$G$2:$G$101,MATCH($A228,'Préstamos'!$A$2:$A$101,0))-1),INDEX('Préstamos'!$J$2:$J$101,MATCH($A228,'Préstamos'!$A$2:$A$101,0)))))</f>
        <v/>
      </c>
      <c r="G228" s="29">
        <f>IF($A228="","",IF(AND(D228&lt;&gt;"Solo interés",C228=INDEX('Préstamos'!$G$2:$G$101,MATCH($A228,'Préstamos'!$A$2:$A$101,0))),INDEX('Préstamos'!$I$2:$I$101,MATCH($A228,'Préstamos'!$A$2:$A$101,0))-INDEX('Préstamos'!$K$2:$K$101,MATCH($A228,'Préstamos'!$A$2:$A$101,0))*(INDEX('Préstamos'!$G$2:$G$101,MATCH($A228,'Préstamos'!$A$2:$A$101,0))-1),INDEX('Préstamos'!$K$2:$K$101,MATCH($A228,'Préstamos'!$A$2:$A$101,0))))</f>
        <v/>
      </c>
      <c r="H228" s="29">
        <f>IF($A228="","",F228+G228)</f>
        <v/>
      </c>
      <c r="I228" s="14" t="n"/>
      <c r="J228" s="33" t="n"/>
      <c r="K228" s="16">
        <f>IF(OR($A228="",I228="Pagado"),"",MAX(0,TODAY()-E228))</f>
        <v/>
      </c>
      <c r="L228" s="16">
        <f>IF($A228="","",IF(I228="Pagado","Pagado",IF(E228&lt;TODAY(),"Atrasado",IF(E228&lt;=EOMONTH(TODAY(),0),"Este mes","Pendiente"))))</f>
        <v/>
      </c>
      <c r="M228" s="20">
        <f>IF(OR($A228="",I228="Pagado"),"",HYPERLINK("https://wa.me/"&amp;IF(INDEX('Préstamos'!$C$2:$C$101,MATCH($A228,'Préstamos'!$A$2:$A$101,0))="","","51"&amp;SUBSTITUTE(INDEX('Préstamos'!$C$2:$C$101,MATCH($A228,'Préstamos'!$A$2:$A$101,0))," ",""))&amp;"?text="&amp;SUBSTITUTE("Hola "&amp;B228&amp;", te recuerdo que tu cuota de S/ "&amp;H228&amp;IF(E228&lt;TODAY()," vencio el "," vence el ")&amp;TEXT(E228,"dd/mm")&amp;". Gracias!"," ","%20"),"WhatsApp"))</f>
        <v/>
      </c>
    </row>
    <row r="229">
      <c r="A229" s="14" t="n"/>
      <c r="B229" s="16">
        <f>IF($A229="","",INDEX('Préstamos'!$B$2:$B$101,MATCH($A229,'Préstamos'!$A$2:$A$101,0)))</f>
        <v/>
      </c>
      <c r="C229" s="14" t="n"/>
      <c r="D229" s="14" t="n"/>
      <c r="E229" s="33" t="n"/>
      <c r="F229" s="29">
        <f>IF($A229="","",IF(D229="Solo interés",0,IF(AND(D229&lt;&gt;"Solo interés",C229=INDEX('Préstamos'!$G$2:$G$101,MATCH($A229,'Préstamos'!$A$2:$A$101,0))),INDEX('Préstamos'!$D$2:$D$101,MATCH($A229,'Préstamos'!$A$2:$A$101,0))-INDEX('Préstamos'!$J$2:$J$101,MATCH($A229,'Préstamos'!$A$2:$A$101,0))*(INDEX('Préstamos'!$G$2:$G$101,MATCH($A229,'Préstamos'!$A$2:$A$101,0))-1),INDEX('Préstamos'!$J$2:$J$101,MATCH($A229,'Préstamos'!$A$2:$A$101,0)))))</f>
        <v/>
      </c>
      <c r="G229" s="29">
        <f>IF($A229="","",IF(AND(D229&lt;&gt;"Solo interés",C229=INDEX('Préstamos'!$G$2:$G$101,MATCH($A229,'Préstamos'!$A$2:$A$101,0))),INDEX('Préstamos'!$I$2:$I$101,MATCH($A229,'Préstamos'!$A$2:$A$101,0))-INDEX('Préstamos'!$K$2:$K$101,MATCH($A229,'Préstamos'!$A$2:$A$101,0))*(INDEX('Préstamos'!$G$2:$G$101,MATCH($A229,'Préstamos'!$A$2:$A$101,0))-1),INDEX('Préstamos'!$K$2:$K$101,MATCH($A229,'Préstamos'!$A$2:$A$101,0))))</f>
        <v/>
      </c>
      <c r="H229" s="29">
        <f>IF($A229="","",F229+G229)</f>
        <v/>
      </c>
      <c r="I229" s="14" t="n"/>
      <c r="J229" s="33" t="n"/>
      <c r="K229" s="16">
        <f>IF(OR($A229="",I229="Pagado"),"",MAX(0,TODAY()-E229))</f>
        <v/>
      </c>
      <c r="L229" s="16">
        <f>IF($A229="","",IF(I229="Pagado","Pagado",IF(E229&lt;TODAY(),"Atrasado",IF(E229&lt;=EOMONTH(TODAY(),0),"Este mes","Pendiente"))))</f>
        <v/>
      </c>
      <c r="M229" s="20">
        <f>IF(OR($A229="",I229="Pagado"),"",HYPERLINK("https://wa.me/"&amp;IF(INDEX('Préstamos'!$C$2:$C$101,MATCH($A229,'Préstamos'!$A$2:$A$101,0))="","","51"&amp;SUBSTITUTE(INDEX('Préstamos'!$C$2:$C$101,MATCH($A229,'Préstamos'!$A$2:$A$101,0))," ",""))&amp;"?text="&amp;SUBSTITUTE("Hola "&amp;B229&amp;", te recuerdo que tu cuota de S/ "&amp;H229&amp;IF(E229&lt;TODAY()," vencio el "," vence el ")&amp;TEXT(E229,"dd/mm")&amp;". Gracias!"," ","%20"),"WhatsApp"))</f>
        <v/>
      </c>
    </row>
    <row r="230">
      <c r="A230" s="14" t="n"/>
      <c r="B230" s="16">
        <f>IF($A230="","",INDEX('Préstamos'!$B$2:$B$101,MATCH($A230,'Préstamos'!$A$2:$A$101,0)))</f>
        <v/>
      </c>
      <c r="C230" s="14" t="n"/>
      <c r="D230" s="14" t="n"/>
      <c r="E230" s="33" t="n"/>
      <c r="F230" s="29">
        <f>IF($A230="","",IF(D230="Solo interés",0,IF(AND(D230&lt;&gt;"Solo interés",C230=INDEX('Préstamos'!$G$2:$G$101,MATCH($A230,'Préstamos'!$A$2:$A$101,0))),INDEX('Préstamos'!$D$2:$D$101,MATCH($A230,'Préstamos'!$A$2:$A$101,0))-INDEX('Préstamos'!$J$2:$J$101,MATCH($A230,'Préstamos'!$A$2:$A$101,0))*(INDEX('Préstamos'!$G$2:$G$101,MATCH($A230,'Préstamos'!$A$2:$A$101,0))-1),INDEX('Préstamos'!$J$2:$J$101,MATCH($A230,'Préstamos'!$A$2:$A$101,0)))))</f>
        <v/>
      </c>
      <c r="G230" s="29">
        <f>IF($A230="","",IF(AND(D230&lt;&gt;"Solo interés",C230=INDEX('Préstamos'!$G$2:$G$101,MATCH($A230,'Préstamos'!$A$2:$A$101,0))),INDEX('Préstamos'!$I$2:$I$101,MATCH($A230,'Préstamos'!$A$2:$A$101,0))-INDEX('Préstamos'!$K$2:$K$101,MATCH($A230,'Préstamos'!$A$2:$A$101,0))*(INDEX('Préstamos'!$G$2:$G$101,MATCH($A230,'Préstamos'!$A$2:$A$101,0))-1),INDEX('Préstamos'!$K$2:$K$101,MATCH($A230,'Préstamos'!$A$2:$A$101,0))))</f>
        <v/>
      </c>
      <c r="H230" s="29">
        <f>IF($A230="","",F230+G230)</f>
        <v/>
      </c>
      <c r="I230" s="14" t="n"/>
      <c r="J230" s="33" t="n"/>
      <c r="K230" s="16">
        <f>IF(OR($A230="",I230="Pagado"),"",MAX(0,TODAY()-E230))</f>
        <v/>
      </c>
      <c r="L230" s="16">
        <f>IF($A230="","",IF(I230="Pagado","Pagado",IF(E230&lt;TODAY(),"Atrasado",IF(E230&lt;=EOMONTH(TODAY(),0),"Este mes","Pendiente"))))</f>
        <v/>
      </c>
      <c r="M230" s="20">
        <f>IF(OR($A230="",I230="Pagado"),"",HYPERLINK("https://wa.me/"&amp;IF(INDEX('Préstamos'!$C$2:$C$101,MATCH($A230,'Préstamos'!$A$2:$A$101,0))="","","51"&amp;SUBSTITUTE(INDEX('Préstamos'!$C$2:$C$101,MATCH($A230,'Préstamos'!$A$2:$A$101,0))," ",""))&amp;"?text="&amp;SUBSTITUTE("Hola "&amp;B230&amp;", te recuerdo que tu cuota de S/ "&amp;H230&amp;IF(E230&lt;TODAY()," vencio el "," vence el ")&amp;TEXT(E230,"dd/mm")&amp;". Gracias!"," ","%20"),"WhatsApp"))</f>
        <v/>
      </c>
    </row>
    <row r="231">
      <c r="A231" s="14" t="n"/>
      <c r="B231" s="16">
        <f>IF($A231="","",INDEX('Préstamos'!$B$2:$B$101,MATCH($A231,'Préstamos'!$A$2:$A$101,0)))</f>
        <v/>
      </c>
      <c r="C231" s="14" t="n"/>
      <c r="D231" s="14" t="n"/>
      <c r="E231" s="33" t="n"/>
      <c r="F231" s="29">
        <f>IF($A231="","",IF(D231="Solo interés",0,IF(AND(D231&lt;&gt;"Solo interés",C231=INDEX('Préstamos'!$G$2:$G$101,MATCH($A231,'Préstamos'!$A$2:$A$101,0))),INDEX('Préstamos'!$D$2:$D$101,MATCH($A231,'Préstamos'!$A$2:$A$101,0))-INDEX('Préstamos'!$J$2:$J$101,MATCH($A231,'Préstamos'!$A$2:$A$101,0))*(INDEX('Préstamos'!$G$2:$G$101,MATCH($A231,'Préstamos'!$A$2:$A$101,0))-1),INDEX('Préstamos'!$J$2:$J$101,MATCH($A231,'Préstamos'!$A$2:$A$101,0)))))</f>
        <v/>
      </c>
      <c r="G231" s="29">
        <f>IF($A231="","",IF(AND(D231&lt;&gt;"Solo interés",C231=INDEX('Préstamos'!$G$2:$G$101,MATCH($A231,'Préstamos'!$A$2:$A$101,0))),INDEX('Préstamos'!$I$2:$I$101,MATCH($A231,'Préstamos'!$A$2:$A$101,0))-INDEX('Préstamos'!$K$2:$K$101,MATCH($A231,'Préstamos'!$A$2:$A$101,0))*(INDEX('Préstamos'!$G$2:$G$101,MATCH($A231,'Préstamos'!$A$2:$A$101,0))-1),INDEX('Préstamos'!$K$2:$K$101,MATCH($A231,'Préstamos'!$A$2:$A$101,0))))</f>
        <v/>
      </c>
      <c r="H231" s="29">
        <f>IF($A231="","",F231+G231)</f>
        <v/>
      </c>
      <c r="I231" s="14" t="n"/>
      <c r="J231" s="33" t="n"/>
      <c r="K231" s="16">
        <f>IF(OR($A231="",I231="Pagado"),"",MAX(0,TODAY()-E231))</f>
        <v/>
      </c>
      <c r="L231" s="16">
        <f>IF($A231="","",IF(I231="Pagado","Pagado",IF(E231&lt;TODAY(),"Atrasado",IF(E231&lt;=EOMONTH(TODAY(),0),"Este mes","Pendiente"))))</f>
        <v/>
      </c>
      <c r="M231" s="20">
        <f>IF(OR($A231="",I231="Pagado"),"",HYPERLINK("https://wa.me/"&amp;IF(INDEX('Préstamos'!$C$2:$C$101,MATCH($A231,'Préstamos'!$A$2:$A$101,0))="","","51"&amp;SUBSTITUTE(INDEX('Préstamos'!$C$2:$C$101,MATCH($A231,'Préstamos'!$A$2:$A$101,0))," ",""))&amp;"?text="&amp;SUBSTITUTE("Hola "&amp;B231&amp;", te recuerdo que tu cuota de S/ "&amp;H231&amp;IF(E231&lt;TODAY()," vencio el "," vence el ")&amp;TEXT(E231,"dd/mm")&amp;". Gracias!"," ","%20"),"WhatsApp"))</f>
        <v/>
      </c>
    </row>
    <row r="232">
      <c r="A232" s="14" t="n"/>
      <c r="B232" s="16">
        <f>IF($A232="","",INDEX('Préstamos'!$B$2:$B$101,MATCH($A232,'Préstamos'!$A$2:$A$101,0)))</f>
        <v/>
      </c>
      <c r="C232" s="14" t="n"/>
      <c r="D232" s="14" t="n"/>
      <c r="E232" s="33" t="n"/>
      <c r="F232" s="29">
        <f>IF($A232="","",IF(D232="Solo interés",0,IF(AND(D232&lt;&gt;"Solo interés",C232=INDEX('Préstamos'!$G$2:$G$101,MATCH($A232,'Préstamos'!$A$2:$A$101,0))),INDEX('Préstamos'!$D$2:$D$101,MATCH($A232,'Préstamos'!$A$2:$A$101,0))-INDEX('Préstamos'!$J$2:$J$101,MATCH($A232,'Préstamos'!$A$2:$A$101,0))*(INDEX('Préstamos'!$G$2:$G$101,MATCH($A232,'Préstamos'!$A$2:$A$101,0))-1),INDEX('Préstamos'!$J$2:$J$101,MATCH($A232,'Préstamos'!$A$2:$A$101,0)))))</f>
        <v/>
      </c>
      <c r="G232" s="29">
        <f>IF($A232="","",IF(AND(D232&lt;&gt;"Solo interés",C232=INDEX('Préstamos'!$G$2:$G$101,MATCH($A232,'Préstamos'!$A$2:$A$101,0))),INDEX('Préstamos'!$I$2:$I$101,MATCH($A232,'Préstamos'!$A$2:$A$101,0))-INDEX('Préstamos'!$K$2:$K$101,MATCH($A232,'Préstamos'!$A$2:$A$101,0))*(INDEX('Préstamos'!$G$2:$G$101,MATCH($A232,'Préstamos'!$A$2:$A$101,0))-1),INDEX('Préstamos'!$K$2:$K$101,MATCH($A232,'Préstamos'!$A$2:$A$101,0))))</f>
        <v/>
      </c>
      <c r="H232" s="29">
        <f>IF($A232="","",F232+G232)</f>
        <v/>
      </c>
      <c r="I232" s="14" t="n"/>
      <c r="J232" s="33" t="n"/>
      <c r="K232" s="16">
        <f>IF(OR($A232="",I232="Pagado"),"",MAX(0,TODAY()-E232))</f>
        <v/>
      </c>
      <c r="L232" s="16">
        <f>IF($A232="","",IF(I232="Pagado","Pagado",IF(E232&lt;TODAY(),"Atrasado",IF(E232&lt;=EOMONTH(TODAY(),0),"Este mes","Pendiente"))))</f>
        <v/>
      </c>
      <c r="M232" s="20">
        <f>IF(OR($A232="",I232="Pagado"),"",HYPERLINK("https://wa.me/"&amp;IF(INDEX('Préstamos'!$C$2:$C$101,MATCH($A232,'Préstamos'!$A$2:$A$101,0))="","","51"&amp;SUBSTITUTE(INDEX('Préstamos'!$C$2:$C$101,MATCH($A232,'Préstamos'!$A$2:$A$101,0))," ",""))&amp;"?text="&amp;SUBSTITUTE("Hola "&amp;B232&amp;", te recuerdo que tu cuota de S/ "&amp;H232&amp;IF(E232&lt;TODAY()," vencio el "," vence el ")&amp;TEXT(E232,"dd/mm")&amp;". Gracias!"," ","%20"),"WhatsApp"))</f>
        <v/>
      </c>
    </row>
    <row r="233">
      <c r="A233" s="14" t="n"/>
      <c r="B233" s="16">
        <f>IF($A233="","",INDEX('Préstamos'!$B$2:$B$101,MATCH($A233,'Préstamos'!$A$2:$A$101,0)))</f>
        <v/>
      </c>
      <c r="C233" s="14" t="n"/>
      <c r="D233" s="14" t="n"/>
      <c r="E233" s="33" t="n"/>
      <c r="F233" s="29">
        <f>IF($A233="","",IF(D233="Solo interés",0,IF(AND(D233&lt;&gt;"Solo interés",C233=INDEX('Préstamos'!$G$2:$G$101,MATCH($A233,'Préstamos'!$A$2:$A$101,0))),INDEX('Préstamos'!$D$2:$D$101,MATCH($A233,'Préstamos'!$A$2:$A$101,0))-INDEX('Préstamos'!$J$2:$J$101,MATCH($A233,'Préstamos'!$A$2:$A$101,0))*(INDEX('Préstamos'!$G$2:$G$101,MATCH($A233,'Préstamos'!$A$2:$A$101,0))-1),INDEX('Préstamos'!$J$2:$J$101,MATCH($A233,'Préstamos'!$A$2:$A$101,0)))))</f>
        <v/>
      </c>
      <c r="G233" s="29">
        <f>IF($A233="","",IF(AND(D233&lt;&gt;"Solo interés",C233=INDEX('Préstamos'!$G$2:$G$101,MATCH($A233,'Préstamos'!$A$2:$A$101,0))),INDEX('Préstamos'!$I$2:$I$101,MATCH($A233,'Préstamos'!$A$2:$A$101,0))-INDEX('Préstamos'!$K$2:$K$101,MATCH($A233,'Préstamos'!$A$2:$A$101,0))*(INDEX('Préstamos'!$G$2:$G$101,MATCH($A233,'Préstamos'!$A$2:$A$101,0))-1),INDEX('Préstamos'!$K$2:$K$101,MATCH($A233,'Préstamos'!$A$2:$A$101,0))))</f>
        <v/>
      </c>
      <c r="H233" s="29">
        <f>IF($A233="","",F233+G233)</f>
        <v/>
      </c>
      <c r="I233" s="14" t="n"/>
      <c r="J233" s="33" t="n"/>
      <c r="K233" s="16">
        <f>IF(OR($A233="",I233="Pagado"),"",MAX(0,TODAY()-E233))</f>
        <v/>
      </c>
      <c r="L233" s="16">
        <f>IF($A233="","",IF(I233="Pagado","Pagado",IF(E233&lt;TODAY(),"Atrasado",IF(E233&lt;=EOMONTH(TODAY(),0),"Este mes","Pendiente"))))</f>
        <v/>
      </c>
      <c r="M233" s="20">
        <f>IF(OR($A233="",I233="Pagado"),"",HYPERLINK("https://wa.me/"&amp;IF(INDEX('Préstamos'!$C$2:$C$101,MATCH($A233,'Préstamos'!$A$2:$A$101,0))="","","51"&amp;SUBSTITUTE(INDEX('Préstamos'!$C$2:$C$101,MATCH($A233,'Préstamos'!$A$2:$A$101,0))," ",""))&amp;"?text="&amp;SUBSTITUTE("Hola "&amp;B233&amp;", te recuerdo que tu cuota de S/ "&amp;H233&amp;IF(E233&lt;TODAY()," vencio el "," vence el ")&amp;TEXT(E233,"dd/mm")&amp;". Gracias!"," ","%20"),"WhatsApp"))</f>
        <v/>
      </c>
    </row>
    <row r="234">
      <c r="A234" s="14" t="n"/>
      <c r="B234" s="16">
        <f>IF($A234="","",INDEX('Préstamos'!$B$2:$B$101,MATCH($A234,'Préstamos'!$A$2:$A$101,0)))</f>
        <v/>
      </c>
      <c r="C234" s="14" t="n"/>
      <c r="D234" s="14" t="n"/>
      <c r="E234" s="33" t="n"/>
      <c r="F234" s="29">
        <f>IF($A234="","",IF(D234="Solo interés",0,IF(AND(D234&lt;&gt;"Solo interés",C234=INDEX('Préstamos'!$G$2:$G$101,MATCH($A234,'Préstamos'!$A$2:$A$101,0))),INDEX('Préstamos'!$D$2:$D$101,MATCH($A234,'Préstamos'!$A$2:$A$101,0))-INDEX('Préstamos'!$J$2:$J$101,MATCH($A234,'Préstamos'!$A$2:$A$101,0))*(INDEX('Préstamos'!$G$2:$G$101,MATCH($A234,'Préstamos'!$A$2:$A$101,0))-1),INDEX('Préstamos'!$J$2:$J$101,MATCH($A234,'Préstamos'!$A$2:$A$101,0)))))</f>
        <v/>
      </c>
      <c r="G234" s="29">
        <f>IF($A234="","",IF(AND(D234&lt;&gt;"Solo interés",C234=INDEX('Préstamos'!$G$2:$G$101,MATCH($A234,'Préstamos'!$A$2:$A$101,0))),INDEX('Préstamos'!$I$2:$I$101,MATCH($A234,'Préstamos'!$A$2:$A$101,0))-INDEX('Préstamos'!$K$2:$K$101,MATCH($A234,'Préstamos'!$A$2:$A$101,0))*(INDEX('Préstamos'!$G$2:$G$101,MATCH($A234,'Préstamos'!$A$2:$A$101,0))-1),INDEX('Préstamos'!$K$2:$K$101,MATCH($A234,'Préstamos'!$A$2:$A$101,0))))</f>
        <v/>
      </c>
      <c r="H234" s="29">
        <f>IF($A234="","",F234+G234)</f>
        <v/>
      </c>
      <c r="I234" s="14" t="n"/>
      <c r="J234" s="33" t="n"/>
      <c r="K234" s="16">
        <f>IF(OR($A234="",I234="Pagado"),"",MAX(0,TODAY()-E234))</f>
        <v/>
      </c>
      <c r="L234" s="16">
        <f>IF($A234="","",IF(I234="Pagado","Pagado",IF(E234&lt;TODAY(),"Atrasado",IF(E234&lt;=EOMONTH(TODAY(),0),"Este mes","Pendiente"))))</f>
        <v/>
      </c>
      <c r="M234" s="20">
        <f>IF(OR($A234="",I234="Pagado"),"",HYPERLINK("https://wa.me/"&amp;IF(INDEX('Préstamos'!$C$2:$C$101,MATCH($A234,'Préstamos'!$A$2:$A$101,0))="","","51"&amp;SUBSTITUTE(INDEX('Préstamos'!$C$2:$C$101,MATCH($A234,'Préstamos'!$A$2:$A$101,0))," ",""))&amp;"?text="&amp;SUBSTITUTE("Hola "&amp;B234&amp;", te recuerdo que tu cuota de S/ "&amp;H234&amp;IF(E234&lt;TODAY()," vencio el "," vence el ")&amp;TEXT(E234,"dd/mm")&amp;". Gracias!"," ","%20"),"WhatsApp"))</f>
        <v/>
      </c>
    </row>
    <row r="235">
      <c r="A235" s="14" t="n"/>
      <c r="B235" s="16">
        <f>IF($A235="","",INDEX('Préstamos'!$B$2:$B$101,MATCH($A235,'Préstamos'!$A$2:$A$101,0)))</f>
        <v/>
      </c>
      <c r="C235" s="14" t="n"/>
      <c r="D235" s="14" t="n"/>
      <c r="E235" s="33" t="n"/>
      <c r="F235" s="29">
        <f>IF($A235="","",IF(D235="Solo interés",0,IF(AND(D235&lt;&gt;"Solo interés",C235=INDEX('Préstamos'!$G$2:$G$101,MATCH($A235,'Préstamos'!$A$2:$A$101,0))),INDEX('Préstamos'!$D$2:$D$101,MATCH($A235,'Préstamos'!$A$2:$A$101,0))-INDEX('Préstamos'!$J$2:$J$101,MATCH($A235,'Préstamos'!$A$2:$A$101,0))*(INDEX('Préstamos'!$G$2:$G$101,MATCH($A235,'Préstamos'!$A$2:$A$101,0))-1),INDEX('Préstamos'!$J$2:$J$101,MATCH($A235,'Préstamos'!$A$2:$A$101,0)))))</f>
        <v/>
      </c>
      <c r="G235" s="29">
        <f>IF($A235="","",IF(AND(D235&lt;&gt;"Solo interés",C235=INDEX('Préstamos'!$G$2:$G$101,MATCH($A235,'Préstamos'!$A$2:$A$101,0))),INDEX('Préstamos'!$I$2:$I$101,MATCH($A235,'Préstamos'!$A$2:$A$101,0))-INDEX('Préstamos'!$K$2:$K$101,MATCH($A235,'Préstamos'!$A$2:$A$101,0))*(INDEX('Préstamos'!$G$2:$G$101,MATCH($A235,'Préstamos'!$A$2:$A$101,0))-1),INDEX('Préstamos'!$K$2:$K$101,MATCH($A235,'Préstamos'!$A$2:$A$101,0))))</f>
        <v/>
      </c>
      <c r="H235" s="29">
        <f>IF($A235="","",F235+G235)</f>
        <v/>
      </c>
      <c r="I235" s="14" t="n"/>
      <c r="J235" s="33" t="n"/>
      <c r="K235" s="16">
        <f>IF(OR($A235="",I235="Pagado"),"",MAX(0,TODAY()-E235))</f>
        <v/>
      </c>
      <c r="L235" s="16">
        <f>IF($A235="","",IF(I235="Pagado","Pagado",IF(E235&lt;TODAY(),"Atrasado",IF(E235&lt;=EOMONTH(TODAY(),0),"Este mes","Pendiente"))))</f>
        <v/>
      </c>
      <c r="M235" s="20">
        <f>IF(OR($A235="",I235="Pagado"),"",HYPERLINK("https://wa.me/"&amp;IF(INDEX('Préstamos'!$C$2:$C$101,MATCH($A235,'Préstamos'!$A$2:$A$101,0))="","","51"&amp;SUBSTITUTE(INDEX('Préstamos'!$C$2:$C$101,MATCH($A235,'Préstamos'!$A$2:$A$101,0))," ",""))&amp;"?text="&amp;SUBSTITUTE("Hola "&amp;B235&amp;", te recuerdo que tu cuota de S/ "&amp;H235&amp;IF(E235&lt;TODAY()," vencio el "," vence el ")&amp;TEXT(E235,"dd/mm")&amp;". Gracias!"," ","%20"),"WhatsApp"))</f>
        <v/>
      </c>
    </row>
    <row r="236">
      <c r="A236" s="14" t="n"/>
      <c r="B236" s="16">
        <f>IF($A236="","",INDEX('Préstamos'!$B$2:$B$101,MATCH($A236,'Préstamos'!$A$2:$A$101,0)))</f>
        <v/>
      </c>
      <c r="C236" s="14" t="n"/>
      <c r="D236" s="14" t="n"/>
      <c r="E236" s="33" t="n"/>
      <c r="F236" s="29">
        <f>IF($A236="","",IF(D236="Solo interés",0,IF(AND(D236&lt;&gt;"Solo interés",C236=INDEX('Préstamos'!$G$2:$G$101,MATCH($A236,'Préstamos'!$A$2:$A$101,0))),INDEX('Préstamos'!$D$2:$D$101,MATCH($A236,'Préstamos'!$A$2:$A$101,0))-INDEX('Préstamos'!$J$2:$J$101,MATCH($A236,'Préstamos'!$A$2:$A$101,0))*(INDEX('Préstamos'!$G$2:$G$101,MATCH($A236,'Préstamos'!$A$2:$A$101,0))-1),INDEX('Préstamos'!$J$2:$J$101,MATCH($A236,'Préstamos'!$A$2:$A$101,0)))))</f>
        <v/>
      </c>
      <c r="G236" s="29">
        <f>IF($A236="","",IF(AND(D236&lt;&gt;"Solo interés",C236=INDEX('Préstamos'!$G$2:$G$101,MATCH($A236,'Préstamos'!$A$2:$A$101,0))),INDEX('Préstamos'!$I$2:$I$101,MATCH($A236,'Préstamos'!$A$2:$A$101,0))-INDEX('Préstamos'!$K$2:$K$101,MATCH($A236,'Préstamos'!$A$2:$A$101,0))*(INDEX('Préstamos'!$G$2:$G$101,MATCH($A236,'Préstamos'!$A$2:$A$101,0))-1),INDEX('Préstamos'!$K$2:$K$101,MATCH($A236,'Préstamos'!$A$2:$A$101,0))))</f>
        <v/>
      </c>
      <c r="H236" s="29">
        <f>IF($A236="","",F236+G236)</f>
        <v/>
      </c>
      <c r="I236" s="14" t="n"/>
      <c r="J236" s="33" t="n"/>
      <c r="K236" s="16">
        <f>IF(OR($A236="",I236="Pagado"),"",MAX(0,TODAY()-E236))</f>
        <v/>
      </c>
      <c r="L236" s="16">
        <f>IF($A236="","",IF(I236="Pagado","Pagado",IF(E236&lt;TODAY(),"Atrasado",IF(E236&lt;=EOMONTH(TODAY(),0),"Este mes","Pendiente"))))</f>
        <v/>
      </c>
      <c r="M236" s="20">
        <f>IF(OR($A236="",I236="Pagado"),"",HYPERLINK("https://wa.me/"&amp;IF(INDEX('Préstamos'!$C$2:$C$101,MATCH($A236,'Préstamos'!$A$2:$A$101,0))="","","51"&amp;SUBSTITUTE(INDEX('Préstamos'!$C$2:$C$101,MATCH($A236,'Préstamos'!$A$2:$A$101,0))," ",""))&amp;"?text="&amp;SUBSTITUTE("Hola "&amp;B236&amp;", te recuerdo que tu cuota de S/ "&amp;H236&amp;IF(E236&lt;TODAY()," vencio el "," vence el ")&amp;TEXT(E236,"dd/mm")&amp;". Gracias!"," ","%20"),"WhatsApp"))</f>
        <v/>
      </c>
    </row>
    <row r="237">
      <c r="A237" s="14" t="n"/>
      <c r="B237" s="16">
        <f>IF($A237="","",INDEX('Préstamos'!$B$2:$B$101,MATCH($A237,'Préstamos'!$A$2:$A$101,0)))</f>
        <v/>
      </c>
      <c r="C237" s="14" t="n"/>
      <c r="D237" s="14" t="n"/>
      <c r="E237" s="33" t="n"/>
      <c r="F237" s="29">
        <f>IF($A237="","",IF(D237="Solo interés",0,IF(AND(D237&lt;&gt;"Solo interés",C237=INDEX('Préstamos'!$G$2:$G$101,MATCH($A237,'Préstamos'!$A$2:$A$101,0))),INDEX('Préstamos'!$D$2:$D$101,MATCH($A237,'Préstamos'!$A$2:$A$101,0))-INDEX('Préstamos'!$J$2:$J$101,MATCH($A237,'Préstamos'!$A$2:$A$101,0))*(INDEX('Préstamos'!$G$2:$G$101,MATCH($A237,'Préstamos'!$A$2:$A$101,0))-1),INDEX('Préstamos'!$J$2:$J$101,MATCH($A237,'Préstamos'!$A$2:$A$101,0)))))</f>
        <v/>
      </c>
      <c r="G237" s="29">
        <f>IF($A237="","",IF(AND(D237&lt;&gt;"Solo interés",C237=INDEX('Préstamos'!$G$2:$G$101,MATCH($A237,'Préstamos'!$A$2:$A$101,0))),INDEX('Préstamos'!$I$2:$I$101,MATCH($A237,'Préstamos'!$A$2:$A$101,0))-INDEX('Préstamos'!$K$2:$K$101,MATCH($A237,'Préstamos'!$A$2:$A$101,0))*(INDEX('Préstamos'!$G$2:$G$101,MATCH($A237,'Préstamos'!$A$2:$A$101,0))-1),INDEX('Préstamos'!$K$2:$K$101,MATCH($A237,'Préstamos'!$A$2:$A$101,0))))</f>
        <v/>
      </c>
      <c r="H237" s="29">
        <f>IF($A237="","",F237+G237)</f>
        <v/>
      </c>
      <c r="I237" s="14" t="n"/>
      <c r="J237" s="33" t="n"/>
      <c r="K237" s="16">
        <f>IF(OR($A237="",I237="Pagado"),"",MAX(0,TODAY()-E237))</f>
        <v/>
      </c>
      <c r="L237" s="16">
        <f>IF($A237="","",IF(I237="Pagado","Pagado",IF(E237&lt;TODAY(),"Atrasado",IF(E237&lt;=EOMONTH(TODAY(),0),"Este mes","Pendiente"))))</f>
        <v/>
      </c>
      <c r="M237" s="20">
        <f>IF(OR($A237="",I237="Pagado"),"",HYPERLINK("https://wa.me/"&amp;IF(INDEX('Préstamos'!$C$2:$C$101,MATCH($A237,'Préstamos'!$A$2:$A$101,0))="","","51"&amp;SUBSTITUTE(INDEX('Préstamos'!$C$2:$C$101,MATCH($A237,'Préstamos'!$A$2:$A$101,0))," ",""))&amp;"?text="&amp;SUBSTITUTE("Hola "&amp;B237&amp;", te recuerdo que tu cuota de S/ "&amp;H237&amp;IF(E237&lt;TODAY()," vencio el "," vence el ")&amp;TEXT(E237,"dd/mm")&amp;". Gracias!"," ","%20"),"WhatsApp"))</f>
        <v/>
      </c>
    </row>
    <row r="238">
      <c r="A238" s="14" t="n"/>
      <c r="B238" s="16">
        <f>IF($A238="","",INDEX('Préstamos'!$B$2:$B$101,MATCH($A238,'Préstamos'!$A$2:$A$101,0)))</f>
        <v/>
      </c>
      <c r="C238" s="14" t="n"/>
      <c r="D238" s="14" t="n"/>
      <c r="E238" s="33" t="n"/>
      <c r="F238" s="29">
        <f>IF($A238="","",IF(D238="Solo interés",0,IF(AND(D238&lt;&gt;"Solo interés",C238=INDEX('Préstamos'!$G$2:$G$101,MATCH($A238,'Préstamos'!$A$2:$A$101,0))),INDEX('Préstamos'!$D$2:$D$101,MATCH($A238,'Préstamos'!$A$2:$A$101,0))-INDEX('Préstamos'!$J$2:$J$101,MATCH($A238,'Préstamos'!$A$2:$A$101,0))*(INDEX('Préstamos'!$G$2:$G$101,MATCH($A238,'Préstamos'!$A$2:$A$101,0))-1),INDEX('Préstamos'!$J$2:$J$101,MATCH($A238,'Préstamos'!$A$2:$A$101,0)))))</f>
        <v/>
      </c>
      <c r="G238" s="29">
        <f>IF($A238="","",IF(AND(D238&lt;&gt;"Solo interés",C238=INDEX('Préstamos'!$G$2:$G$101,MATCH($A238,'Préstamos'!$A$2:$A$101,0))),INDEX('Préstamos'!$I$2:$I$101,MATCH($A238,'Préstamos'!$A$2:$A$101,0))-INDEX('Préstamos'!$K$2:$K$101,MATCH($A238,'Préstamos'!$A$2:$A$101,0))*(INDEX('Préstamos'!$G$2:$G$101,MATCH($A238,'Préstamos'!$A$2:$A$101,0))-1),INDEX('Préstamos'!$K$2:$K$101,MATCH($A238,'Préstamos'!$A$2:$A$101,0))))</f>
        <v/>
      </c>
      <c r="H238" s="29">
        <f>IF($A238="","",F238+G238)</f>
        <v/>
      </c>
      <c r="I238" s="14" t="n"/>
      <c r="J238" s="33" t="n"/>
      <c r="K238" s="16">
        <f>IF(OR($A238="",I238="Pagado"),"",MAX(0,TODAY()-E238))</f>
        <v/>
      </c>
      <c r="L238" s="16">
        <f>IF($A238="","",IF(I238="Pagado","Pagado",IF(E238&lt;TODAY(),"Atrasado",IF(E238&lt;=EOMONTH(TODAY(),0),"Este mes","Pendiente"))))</f>
        <v/>
      </c>
      <c r="M238" s="20">
        <f>IF(OR($A238="",I238="Pagado"),"",HYPERLINK("https://wa.me/"&amp;IF(INDEX('Préstamos'!$C$2:$C$101,MATCH($A238,'Préstamos'!$A$2:$A$101,0))="","","51"&amp;SUBSTITUTE(INDEX('Préstamos'!$C$2:$C$101,MATCH($A238,'Préstamos'!$A$2:$A$101,0))," ",""))&amp;"?text="&amp;SUBSTITUTE("Hola "&amp;B238&amp;", te recuerdo que tu cuota de S/ "&amp;H238&amp;IF(E238&lt;TODAY()," vencio el "," vence el ")&amp;TEXT(E238,"dd/mm")&amp;". Gracias!"," ","%20"),"WhatsApp"))</f>
        <v/>
      </c>
    </row>
    <row r="239">
      <c r="A239" s="14" t="n"/>
      <c r="B239" s="16">
        <f>IF($A239="","",INDEX('Préstamos'!$B$2:$B$101,MATCH($A239,'Préstamos'!$A$2:$A$101,0)))</f>
        <v/>
      </c>
      <c r="C239" s="14" t="n"/>
      <c r="D239" s="14" t="n"/>
      <c r="E239" s="33" t="n"/>
      <c r="F239" s="29">
        <f>IF($A239="","",IF(D239="Solo interés",0,IF(AND(D239&lt;&gt;"Solo interés",C239=INDEX('Préstamos'!$G$2:$G$101,MATCH($A239,'Préstamos'!$A$2:$A$101,0))),INDEX('Préstamos'!$D$2:$D$101,MATCH($A239,'Préstamos'!$A$2:$A$101,0))-INDEX('Préstamos'!$J$2:$J$101,MATCH($A239,'Préstamos'!$A$2:$A$101,0))*(INDEX('Préstamos'!$G$2:$G$101,MATCH($A239,'Préstamos'!$A$2:$A$101,0))-1),INDEX('Préstamos'!$J$2:$J$101,MATCH($A239,'Préstamos'!$A$2:$A$101,0)))))</f>
        <v/>
      </c>
      <c r="G239" s="29">
        <f>IF($A239="","",IF(AND(D239&lt;&gt;"Solo interés",C239=INDEX('Préstamos'!$G$2:$G$101,MATCH($A239,'Préstamos'!$A$2:$A$101,0))),INDEX('Préstamos'!$I$2:$I$101,MATCH($A239,'Préstamos'!$A$2:$A$101,0))-INDEX('Préstamos'!$K$2:$K$101,MATCH($A239,'Préstamos'!$A$2:$A$101,0))*(INDEX('Préstamos'!$G$2:$G$101,MATCH($A239,'Préstamos'!$A$2:$A$101,0))-1),INDEX('Préstamos'!$K$2:$K$101,MATCH($A239,'Préstamos'!$A$2:$A$101,0))))</f>
        <v/>
      </c>
      <c r="H239" s="29">
        <f>IF($A239="","",F239+G239)</f>
        <v/>
      </c>
      <c r="I239" s="14" t="n"/>
      <c r="J239" s="33" t="n"/>
      <c r="K239" s="16">
        <f>IF(OR($A239="",I239="Pagado"),"",MAX(0,TODAY()-E239))</f>
        <v/>
      </c>
      <c r="L239" s="16">
        <f>IF($A239="","",IF(I239="Pagado","Pagado",IF(E239&lt;TODAY(),"Atrasado",IF(E239&lt;=EOMONTH(TODAY(),0),"Este mes","Pendiente"))))</f>
        <v/>
      </c>
      <c r="M239" s="20">
        <f>IF(OR($A239="",I239="Pagado"),"",HYPERLINK("https://wa.me/"&amp;IF(INDEX('Préstamos'!$C$2:$C$101,MATCH($A239,'Préstamos'!$A$2:$A$101,0))="","","51"&amp;SUBSTITUTE(INDEX('Préstamos'!$C$2:$C$101,MATCH($A239,'Préstamos'!$A$2:$A$101,0))," ",""))&amp;"?text="&amp;SUBSTITUTE("Hola "&amp;B239&amp;", te recuerdo que tu cuota de S/ "&amp;H239&amp;IF(E239&lt;TODAY()," vencio el "," vence el ")&amp;TEXT(E239,"dd/mm")&amp;". Gracias!"," ","%20"),"WhatsApp"))</f>
        <v/>
      </c>
    </row>
    <row r="240">
      <c r="A240" s="14" t="n"/>
      <c r="B240" s="16">
        <f>IF($A240="","",INDEX('Préstamos'!$B$2:$B$101,MATCH($A240,'Préstamos'!$A$2:$A$101,0)))</f>
        <v/>
      </c>
      <c r="C240" s="14" t="n"/>
      <c r="D240" s="14" t="n"/>
      <c r="E240" s="33" t="n"/>
      <c r="F240" s="29">
        <f>IF($A240="","",IF(D240="Solo interés",0,IF(AND(D240&lt;&gt;"Solo interés",C240=INDEX('Préstamos'!$G$2:$G$101,MATCH($A240,'Préstamos'!$A$2:$A$101,0))),INDEX('Préstamos'!$D$2:$D$101,MATCH($A240,'Préstamos'!$A$2:$A$101,0))-INDEX('Préstamos'!$J$2:$J$101,MATCH($A240,'Préstamos'!$A$2:$A$101,0))*(INDEX('Préstamos'!$G$2:$G$101,MATCH($A240,'Préstamos'!$A$2:$A$101,0))-1),INDEX('Préstamos'!$J$2:$J$101,MATCH($A240,'Préstamos'!$A$2:$A$101,0)))))</f>
        <v/>
      </c>
      <c r="G240" s="29">
        <f>IF($A240="","",IF(AND(D240&lt;&gt;"Solo interés",C240=INDEX('Préstamos'!$G$2:$G$101,MATCH($A240,'Préstamos'!$A$2:$A$101,0))),INDEX('Préstamos'!$I$2:$I$101,MATCH($A240,'Préstamos'!$A$2:$A$101,0))-INDEX('Préstamos'!$K$2:$K$101,MATCH($A240,'Préstamos'!$A$2:$A$101,0))*(INDEX('Préstamos'!$G$2:$G$101,MATCH($A240,'Préstamos'!$A$2:$A$101,0))-1),INDEX('Préstamos'!$K$2:$K$101,MATCH($A240,'Préstamos'!$A$2:$A$101,0))))</f>
        <v/>
      </c>
      <c r="H240" s="29">
        <f>IF($A240="","",F240+G240)</f>
        <v/>
      </c>
      <c r="I240" s="14" t="n"/>
      <c r="J240" s="33" t="n"/>
      <c r="K240" s="16">
        <f>IF(OR($A240="",I240="Pagado"),"",MAX(0,TODAY()-E240))</f>
        <v/>
      </c>
      <c r="L240" s="16">
        <f>IF($A240="","",IF(I240="Pagado","Pagado",IF(E240&lt;TODAY(),"Atrasado",IF(E240&lt;=EOMONTH(TODAY(),0),"Este mes","Pendiente"))))</f>
        <v/>
      </c>
      <c r="M240" s="20">
        <f>IF(OR($A240="",I240="Pagado"),"",HYPERLINK("https://wa.me/"&amp;IF(INDEX('Préstamos'!$C$2:$C$101,MATCH($A240,'Préstamos'!$A$2:$A$101,0))="","","51"&amp;SUBSTITUTE(INDEX('Préstamos'!$C$2:$C$101,MATCH($A240,'Préstamos'!$A$2:$A$101,0))," ",""))&amp;"?text="&amp;SUBSTITUTE("Hola "&amp;B240&amp;", te recuerdo que tu cuota de S/ "&amp;H240&amp;IF(E240&lt;TODAY()," vencio el "," vence el ")&amp;TEXT(E240,"dd/mm")&amp;". Gracias!"," ","%20"),"WhatsApp"))</f>
        <v/>
      </c>
    </row>
    <row r="241">
      <c r="A241" s="14" t="n"/>
      <c r="B241" s="16">
        <f>IF($A241="","",INDEX('Préstamos'!$B$2:$B$101,MATCH($A241,'Préstamos'!$A$2:$A$101,0)))</f>
        <v/>
      </c>
      <c r="C241" s="14" t="n"/>
      <c r="D241" s="14" t="n"/>
      <c r="E241" s="33" t="n"/>
      <c r="F241" s="29">
        <f>IF($A241="","",IF(D241="Solo interés",0,IF(AND(D241&lt;&gt;"Solo interés",C241=INDEX('Préstamos'!$G$2:$G$101,MATCH($A241,'Préstamos'!$A$2:$A$101,0))),INDEX('Préstamos'!$D$2:$D$101,MATCH($A241,'Préstamos'!$A$2:$A$101,0))-INDEX('Préstamos'!$J$2:$J$101,MATCH($A241,'Préstamos'!$A$2:$A$101,0))*(INDEX('Préstamos'!$G$2:$G$101,MATCH($A241,'Préstamos'!$A$2:$A$101,0))-1),INDEX('Préstamos'!$J$2:$J$101,MATCH($A241,'Préstamos'!$A$2:$A$101,0)))))</f>
        <v/>
      </c>
      <c r="G241" s="29">
        <f>IF($A241="","",IF(AND(D241&lt;&gt;"Solo interés",C241=INDEX('Préstamos'!$G$2:$G$101,MATCH($A241,'Préstamos'!$A$2:$A$101,0))),INDEX('Préstamos'!$I$2:$I$101,MATCH($A241,'Préstamos'!$A$2:$A$101,0))-INDEX('Préstamos'!$K$2:$K$101,MATCH($A241,'Préstamos'!$A$2:$A$101,0))*(INDEX('Préstamos'!$G$2:$G$101,MATCH($A241,'Préstamos'!$A$2:$A$101,0))-1),INDEX('Préstamos'!$K$2:$K$101,MATCH($A241,'Préstamos'!$A$2:$A$101,0))))</f>
        <v/>
      </c>
      <c r="H241" s="29">
        <f>IF($A241="","",F241+G241)</f>
        <v/>
      </c>
      <c r="I241" s="14" t="n"/>
      <c r="J241" s="33" t="n"/>
      <c r="K241" s="16">
        <f>IF(OR($A241="",I241="Pagado"),"",MAX(0,TODAY()-E241))</f>
        <v/>
      </c>
      <c r="L241" s="16">
        <f>IF($A241="","",IF(I241="Pagado","Pagado",IF(E241&lt;TODAY(),"Atrasado",IF(E241&lt;=EOMONTH(TODAY(),0),"Este mes","Pendiente"))))</f>
        <v/>
      </c>
      <c r="M241" s="20">
        <f>IF(OR($A241="",I241="Pagado"),"",HYPERLINK("https://wa.me/"&amp;IF(INDEX('Préstamos'!$C$2:$C$101,MATCH($A241,'Préstamos'!$A$2:$A$101,0))="","","51"&amp;SUBSTITUTE(INDEX('Préstamos'!$C$2:$C$101,MATCH($A241,'Préstamos'!$A$2:$A$101,0))," ",""))&amp;"?text="&amp;SUBSTITUTE("Hola "&amp;B241&amp;", te recuerdo que tu cuota de S/ "&amp;H241&amp;IF(E241&lt;TODAY()," vencio el "," vence el ")&amp;TEXT(E241,"dd/mm")&amp;". Gracias!"," ","%20"),"WhatsApp"))</f>
        <v/>
      </c>
    </row>
    <row r="242">
      <c r="A242" s="14" t="n"/>
      <c r="B242" s="16">
        <f>IF($A242="","",INDEX('Préstamos'!$B$2:$B$101,MATCH($A242,'Préstamos'!$A$2:$A$101,0)))</f>
        <v/>
      </c>
      <c r="C242" s="14" t="n"/>
      <c r="D242" s="14" t="n"/>
      <c r="E242" s="33" t="n"/>
      <c r="F242" s="29">
        <f>IF($A242="","",IF(D242="Solo interés",0,IF(AND(D242&lt;&gt;"Solo interés",C242=INDEX('Préstamos'!$G$2:$G$101,MATCH($A242,'Préstamos'!$A$2:$A$101,0))),INDEX('Préstamos'!$D$2:$D$101,MATCH($A242,'Préstamos'!$A$2:$A$101,0))-INDEX('Préstamos'!$J$2:$J$101,MATCH($A242,'Préstamos'!$A$2:$A$101,0))*(INDEX('Préstamos'!$G$2:$G$101,MATCH($A242,'Préstamos'!$A$2:$A$101,0))-1),INDEX('Préstamos'!$J$2:$J$101,MATCH($A242,'Préstamos'!$A$2:$A$101,0)))))</f>
        <v/>
      </c>
      <c r="G242" s="29">
        <f>IF($A242="","",IF(AND(D242&lt;&gt;"Solo interés",C242=INDEX('Préstamos'!$G$2:$G$101,MATCH($A242,'Préstamos'!$A$2:$A$101,0))),INDEX('Préstamos'!$I$2:$I$101,MATCH($A242,'Préstamos'!$A$2:$A$101,0))-INDEX('Préstamos'!$K$2:$K$101,MATCH($A242,'Préstamos'!$A$2:$A$101,0))*(INDEX('Préstamos'!$G$2:$G$101,MATCH($A242,'Préstamos'!$A$2:$A$101,0))-1),INDEX('Préstamos'!$K$2:$K$101,MATCH($A242,'Préstamos'!$A$2:$A$101,0))))</f>
        <v/>
      </c>
      <c r="H242" s="29">
        <f>IF($A242="","",F242+G242)</f>
        <v/>
      </c>
      <c r="I242" s="14" t="n"/>
      <c r="J242" s="33" t="n"/>
      <c r="K242" s="16">
        <f>IF(OR($A242="",I242="Pagado"),"",MAX(0,TODAY()-E242))</f>
        <v/>
      </c>
      <c r="L242" s="16">
        <f>IF($A242="","",IF(I242="Pagado","Pagado",IF(E242&lt;TODAY(),"Atrasado",IF(E242&lt;=EOMONTH(TODAY(),0),"Este mes","Pendiente"))))</f>
        <v/>
      </c>
      <c r="M242" s="20">
        <f>IF(OR($A242="",I242="Pagado"),"",HYPERLINK("https://wa.me/"&amp;IF(INDEX('Préstamos'!$C$2:$C$101,MATCH($A242,'Préstamos'!$A$2:$A$101,0))="","","51"&amp;SUBSTITUTE(INDEX('Préstamos'!$C$2:$C$101,MATCH($A242,'Préstamos'!$A$2:$A$101,0))," ",""))&amp;"?text="&amp;SUBSTITUTE("Hola "&amp;B242&amp;", te recuerdo que tu cuota de S/ "&amp;H242&amp;IF(E242&lt;TODAY()," vencio el "," vence el ")&amp;TEXT(E242,"dd/mm")&amp;". Gracias!"," ","%20"),"WhatsApp"))</f>
        <v/>
      </c>
    </row>
    <row r="243">
      <c r="A243" s="14" t="n"/>
      <c r="B243" s="16">
        <f>IF($A243="","",INDEX('Préstamos'!$B$2:$B$101,MATCH($A243,'Préstamos'!$A$2:$A$101,0)))</f>
        <v/>
      </c>
      <c r="C243" s="14" t="n"/>
      <c r="D243" s="14" t="n"/>
      <c r="E243" s="33" t="n"/>
      <c r="F243" s="29">
        <f>IF($A243="","",IF(D243="Solo interés",0,IF(AND(D243&lt;&gt;"Solo interés",C243=INDEX('Préstamos'!$G$2:$G$101,MATCH($A243,'Préstamos'!$A$2:$A$101,0))),INDEX('Préstamos'!$D$2:$D$101,MATCH($A243,'Préstamos'!$A$2:$A$101,0))-INDEX('Préstamos'!$J$2:$J$101,MATCH($A243,'Préstamos'!$A$2:$A$101,0))*(INDEX('Préstamos'!$G$2:$G$101,MATCH($A243,'Préstamos'!$A$2:$A$101,0))-1),INDEX('Préstamos'!$J$2:$J$101,MATCH($A243,'Préstamos'!$A$2:$A$101,0)))))</f>
        <v/>
      </c>
      <c r="G243" s="29">
        <f>IF($A243="","",IF(AND(D243&lt;&gt;"Solo interés",C243=INDEX('Préstamos'!$G$2:$G$101,MATCH($A243,'Préstamos'!$A$2:$A$101,0))),INDEX('Préstamos'!$I$2:$I$101,MATCH($A243,'Préstamos'!$A$2:$A$101,0))-INDEX('Préstamos'!$K$2:$K$101,MATCH($A243,'Préstamos'!$A$2:$A$101,0))*(INDEX('Préstamos'!$G$2:$G$101,MATCH($A243,'Préstamos'!$A$2:$A$101,0))-1),INDEX('Préstamos'!$K$2:$K$101,MATCH($A243,'Préstamos'!$A$2:$A$101,0))))</f>
        <v/>
      </c>
      <c r="H243" s="29">
        <f>IF($A243="","",F243+G243)</f>
        <v/>
      </c>
      <c r="I243" s="14" t="n"/>
      <c r="J243" s="33" t="n"/>
      <c r="K243" s="16">
        <f>IF(OR($A243="",I243="Pagado"),"",MAX(0,TODAY()-E243))</f>
        <v/>
      </c>
      <c r="L243" s="16">
        <f>IF($A243="","",IF(I243="Pagado","Pagado",IF(E243&lt;TODAY(),"Atrasado",IF(E243&lt;=EOMONTH(TODAY(),0),"Este mes","Pendiente"))))</f>
        <v/>
      </c>
      <c r="M243" s="20">
        <f>IF(OR($A243="",I243="Pagado"),"",HYPERLINK("https://wa.me/"&amp;IF(INDEX('Préstamos'!$C$2:$C$101,MATCH($A243,'Préstamos'!$A$2:$A$101,0))="","","51"&amp;SUBSTITUTE(INDEX('Préstamos'!$C$2:$C$101,MATCH($A243,'Préstamos'!$A$2:$A$101,0))," ",""))&amp;"?text="&amp;SUBSTITUTE("Hola "&amp;B243&amp;", te recuerdo que tu cuota de S/ "&amp;H243&amp;IF(E243&lt;TODAY()," vencio el "," vence el ")&amp;TEXT(E243,"dd/mm")&amp;". Gracias!"," ","%20"),"WhatsApp"))</f>
        <v/>
      </c>
    </row>
    <row r="244">
      <c r="A244" s="14" t="n"/>
      <c r="B244" s="16">
        <f>IF($A244="","",INDEX('Préstamos'!$B$2:$B$101,MATCH($A244,'Préstamos'!$A$2:$A$101,0)))</f>
        <v/>
      </c>
      <c r="C244" s="14" t="n"/>
      <c r="D244" s="14" t="n"/>
      <c r="E244" s="33" t="n"/>
      <c r="F244" s="29">
        <f>IF($A244="","",IF(D244="Solo interés",0,IF(AND(D244&lt;&gt;"Solo interés",C244=INDEX('Préstamos'!$G$2:$G$101,MATCH($A244,'Préstamos'!$A$2:$A$101,0))),INDEX('Préstamos'!$D$2:$D$101,MATCH($A244,'Préstamos'!$A$2:$A$101,0))-INDEX('Préstamos'!$J$2:$J$101,MATCH($A244,'Préstamos'!$A$2:$A$101,0))*(INDEX('Préstamos'!$G$2:$G$101,MATCH($A244,'Préstamos'!$A$2:$A$101,0))-1),INDEX('Préstamos'!$J$2:$J$101,MATCH($A244,'Préstamos'!$A$2:$A$101,0)))))</f>
        <v/>
      </c>
      <c r="G244" s="29">
        <f>IF($A244="","",IF(AND(D244&lt;&gt;"Solo interés",C244=INDEX('Préstamos'!$G$2:$G$101,MATCH($A244,'Préstamos'!$A$2:$A$101,0))),INDEX('Préstamos'!$I$2:$I$101,MATCH($A244,'Préstamos'!$A$2:$A$101,0))-INDEX('Préstamos'!$K$2:$K$101,MATCH($A244,'Préstamos'!$A$2:$A$101,0))*(INDEX('Préstamos'!$G$2:$G$101,MATCH($A244,'Préstamos'!$A$2:$A$101,0))-1),INDEX('Préstamos'!$K$2:$K$101,MATCH($A244,'Préstamos'!$A$2:$A$101,0))))</f>
        <v/>
      </c>
      <c r="H244" s="29">
        <f>IF($A244="","",F244+G244)</f>
        <v/>
      </c>
      <c r="I244" s="14" t="n"/>
      <c r="J244" s="33" t="n"/>
      <c r="K244" s="16">
        <f>IF(OR($A244="",I244="Pagado"),"",MAX(0,TODAY()-E244))</f>
        <v/>
      </c>
      <c r="L244" s="16">
        <f>IF($A244="","",IF(I244="Pagado","Pagado",IF(E244&lt;TODAY(),"Atrasado",IF(E244&lt;=EOMONTH(TODAY(),0),"Este mes","Pendiente"))))</f>
        <v/>
      </c>
      <c r="M244" s="20">
        <f>IF(OR($A244="",I244="Pagado"),"",HYPERLINK("https://wa.me/"&amp;IF(INDEX('Préstamos'!$C$2:$C$101,MATCH($A244,'Préstamos'!$A$2:$A$101,0))="","","51"&amp;SUBSTITUTE(INDEX('Préstamos'!$C$2:$C$101,MATCH($A244,'Préstamos'!$A$2:$A$101,0))," ",""))&amp;"?text="&amp;SUBSTITUTE("Hola "&amp;B244&amp;", te recuerdo que tu cuota de S/ "&amp;H244&amp;IF(E244&lt;TODAY()," vencio el "," vence el ")&amp;TEXT(E244,"dd/mm")&amp;". Gracias!"," ","%20"),"WhatsApp"))</f>
        <v/>
      </c>
    </row>
    <row r="245">
      <c r="A245" s="14" t="n"/>
      <c r="B245" s="16">
        <f>IF($A245="","",INDEX('Préstamos'!$B$2:$B$101,MATCH($A245,'Préstamos'!$A$2:$A$101,0)))</f>
        <v/>
      </c>
      <c r="C245" s="14" t="n"/>
      <c r="D245" s="14" t="n"/>
      <c r="E245" s="33" t="n"/>
      <c r="F245" s="29">
        <f>IF($A245="","",IF(D245="Solo interés",0,IF(AND(D245&lt;&gt;"Solo interés",C245=INDEX('Préstamos'!$G$2:$G$101,MATCH($A245,'Préstamos'!$A$2:$A$101,0))),INDEX('Préstamos'!$D$2:$D$101,MATCH($A245,'Préstamos'!$A$2:$A$101,0))-INDEX('Préstamos'!$J$2:$J$101,MATCH($A245,'Préstamos'!$A$2:$A$101,0))*(INDEX('Préstamos'!$G$2:$G$101,MATCH($A245,'Préstamos'!$A$2:$A$101,0))-1),INDEX('Préstamos'!$J$2:$J$101,MATCH($A245,'Préstamos'!$A$2:$A$101,0)))))</f>
        <v/>
      </c>
      <c r="G245" s="29">
        <f>IF($A245="","",IF(AND(D245&lt;&gt;"Solo interés",C245=INDEX('Préstamos'!$G$2:$G$101,MATCH($A245,'Préstamos'!$A$2:$A$101,0))),INDEX('Préstamos'!$I$2:$I$101,MATCH($A245,'Préstamos'!$A$2:$A$101,0))-INDEX('Préstamos'!$K$2:$K$101,MATCH($A245,'Préstamos'!$A$2:$A$101,0))*(INDEX('Préstamos'!$G$2:$G$101,MATCH($A245,'Préstamos'!$A$2:$A$101,0))-1),INDEX('Préstamos'!$K$2:$K$101,MATCH($A245,'Préstamos'!$A$2:$A$101,0))))</f>
        <v/>
      </c>
      <c r="H245" s="29">
        <f>IF($A245="","",F245+G245)</f>
        <v/>
      </c>
      <c r="I245" s="14" t="n"/>
      <c r="J245" s="33" t="n"/>
      <c r="K245" s="16">
        <f>IF(OR($A245="",I245="Pagado"),"",MAX(0,TODAY()-E245))</f>
        <v/>
      </c>
      <c r="L245" s="16">
        <f>IF($A245="","",IF(I245="Pagado","Pagado",IF(E245&lt;TODAY(),"Atrasado",IF(E245&lt;=EOMONTH(TODAY(),0),"Este mes","Pendiente"))))</f>
        <v/>
      </c>
      <c r="M245" s="20">
        <f>IF(OR($A245="",I245="Pagado"),"",HYPERLINK("https://wa.me/"&amp;IF(INDEX('Préstamos'!$C$2:$C$101,MATCH($A245,'Préstamos'!$A$2:$A$101,0))="","","51"&amp;SUBSTITUTE(INDEX('Préstamos'!$C$2:$C$101,MATCH($A245,'Préstamos'!$A$2:$A$101,0))," ",""))&amp;"?text="&amp;SUBSTITUTE("Hola "&amp;B245&amp;", te recuerdo que tu cuota de S/ "&amp;H245&amp;IF(E245&lt;TODAY()," vencio el "," vence el ")&amp;TEXT(E245,"dd/mm")&amp;". Gracias!"," ","%20"),"WhatsApp"))</f>
        <v/>
      </c>
    </row>
    <row r="246">
      <c r="A246" s="14" t="n"/>
      <c r="B246" s="16">
        <f>IF($A246="","",INDEX('Préstamos'!$B$2:$B$101,MATCH($A246,'Préstamos'!$A$2:$A$101,0)))</f>
        <v/>
      </c>
      <c r="C246" s="14" t="n"/>
      <c r="D246" s="14" t="n"/>
      <c r="E246" s="33" t="n"/>
      <c r="F246" s="29">
        <f>IF($A246="","",IF(D246="Solo interés",0,IF(AND(D246&lt;&gt;"Solo interés",C246=INDEX('Préstamos'!$G$2:$G$101,MATCH($A246,'Préstamos'!$A$2:$A$101,0))),INDEX('Préstamos'!$D$2:$D$101,MATCH($A246,'Préstamos'!$A$2:$A$101,0))-INDEX('Préstamos'!$J$2:$J$101,MATCH($A246,'Préstamos'!$A$2:$A$101,0))*(INDEX('Préstamos'!$G$2:$G$101,MATCH($A246,'Préstamos'!$A$2:$A$101,0))-1),INDEX('Préstamos'!$J$2:$J$101,MATCH($A246,'Préstamos'!$A$2:$A$101,0)))))</f>
        <v/>
      </c>
      <c r="G246" s="29">
        <f>IF($A246="","",IF(AND(D246&lt;&gt;"Solo interés",C246=INDEX('Préstamos'!$G$2:$G$101,MATCH($A246,'Préstamos'!$A$2:$A$101,0))),INDEX('Préstamos'!$I$2:$I$101,MATCH($A246,'Préstamos'!$A$2:$A$101,0))-INDEX('Préstamos'!$K$2:$K$101,MATCH($A246,'Préstamos'!$A$2:$A$101,0))*(INDEX('Préstamos'!$G$2:$G$101,MATCH($A246,'Préstamos'!$A$2:$A$101,0))-1),INDEX('Préstamos'!$K$2:$K$101,MATCH($A246,'Préstamos'!$A$2:$A$101,0))))</f>
        <v/>
      </c>
      <c r="H246" s="29">
        <f>IF($A246="","",F246+G246)</f>
        <v/>
      </c>
      <c r="I246" s="14" t="n"/>
      <c r="J246" s="33" t="n"/>
      <c r="K246" s="16">
        <f>IF(OR($A246="",I246="Pagado"),"",MAX(0,TODAY()-E246))</f>
        <v/>
      </c>
      <c r="L246" s="16">
        <f>IF($A246="","",IF(I246="Pagado","Pagado",IF(E246&lt;TODAY(),"Atrasado",IF(E246&lt;=EOMONTH(TODAY(),0),"Este mes","Pendiente"))))</f>
        <v/>
      </c>
      <c r="M246" s="20">
        <f>IF(OR($A246="",I246="Pagado"),"",HYPERLINK("https://wa.me/"&amp;IF(INDEX('Préstamos'!$C$2:$C$101,MATCH($A246,'Préstamos'!$A$2:$A$101,0))="","","51"&amp;SUBSTITUTE(INDEX('Préstamos'!$C$2:$C$101,MATCH($A246,'Préstamos'!$A$2:$A$101,0))," ",""))&amp;"?text="&amp;SUBSTITUTE("Hola "&amp;B246&amp;", te recuerdo que tu cuota de S/ "&amp;H246&amp;IF(E246&lt;TODAY()," vencio el "," vence el ")&amp;TEXT(E246,"dd/mm")&amp;". Gracias!"," ","%20"),"WhatsApp"))</f>
        <v/>
      </c>
    </row>
    <row r="247">
      <c r="A247" s="14" t="n"/>
      <c r="B247" s="16">
        <f>IF($A247="","",INDEX('Préstamos'!$B$2:$B$101,MATCH($A247,'Préstamos'!$A$2:$A$101,0)))</f>
        <v/>
      </c>
      <c r="C247" s="14" t="n"/>
      <c r="D247" s="14" t="n"/>
      <c r="E247" s="33" t="n"/>
      <c r="F247" s="29">
        <f>IF($A247="","",IF(D247="Solo interés",0,IF(AND(D247&lt;&gt;"Solo interés",C247=INDEX('Préstamos'!$G$2:$G$101,MATCH($A247,'Préstamos'!$A$2:$A$101,0))),INDEX('Préstamos'!$D$2:$D$101,MATCH($A247,'Préstamos'!$A$2:$A$101,0))-INDEX('Préstamos'!$J$2:$J$101,MATCH($A247,'Préstamos'!$A$2:$A$101,0))*(INDEX('Préstamos'!$G$2:$G$101,MATCH($A247,'Préstamos'!$A$2:$A$101,0))-1),INDEX('Préstamos'!$J$2:$J$101,MATCH($A247,'Préstamos'!$A$2:$A$101,0)))))</f>
        <v/>
      </c>
      <c r="G247" s="29">
        <f>IF($A247="","",IF(AND(D247&lt;&gt;"Solo interés",C247=INDEX('Préstamos'!$G$2:$G$101,MATCH($A247,'Préstamos'!$A$2:$A$101,0))),INDEX('Préstamos'!$I$2:$I$101,MATCH($A247,'Préstamos'!$A$2:$A$101,0))-INDEX('Préstamos'!$K$2:$K$101,MATCH($A247,'Préstamos'!$A$2:$A$101,0))*(INDEX('Préstamos'!$G$2:$G$101,MATCH($A247,'Préstamos'!$A$2:$A$101,0))-1),INDEX('Préstamos'!$K$2:$K$101,MATCH($A247,'Préstamos'!$A$2:$A$101,0))))</f>
        <v/>
      </c>
      <c r="H247" s="29">
        <f>IF($A247="","",F247+G247)</f>
        <v/>
      </c>
      <c r="I247" s="14" t="n"/>
      <c r="J247" s="33" t="n"/>
      <c r="K247" s="16">
        <f>IF(OR($A247="",I247="Pagado"),"",MAX(0,TODAY()-E247))</f>
        <v/>
      </c>
      <c r="L247" s="16">
        <f>IF($A247="","",IF(I247="Pagado","Pagado",IF(E247&lt;TODAY(),"Atrasado",IF(E247&lt;=EOMONTH(TODAY(),0),"Este mes","Pendiente"))))</f>
        <v/>
      </c>
      <c r="M247" s="20">
        <f>IF(OR($A247="",I247="Pagado"),"",HYPERLINK("https://wa.me/"&amp;IF(INDEX('Préstamos'!$C$2:$C$101,MATCH($A247,'Préstamos'!$A$2:$A$101,0))="","","51"&amp;SUBSTITUTE(INDEX('Préstamos'!$C$2:$C$101,MATCH($A247,'Préstamos'!$A$2:$A$101,0))," ",""))&amp;"?text="&amp;SUBSTITUTE("Hola "&amp;B247&amp;", te recuerdo que tu cuota de S/ "&amp;H247&amp;IF(E247&lt;TODAY()," vencio el "," vence el ")&amp;TEXT(E247,"dd/mm")&amp;". Gracias!"," ","%20"),"WhatsApp"))</f>
        <v/>
      </c>
    </row>
    <row r="248">
      <c r="A248" s="14" t="n"/>
      <c r="B248" s="16">
        <f>IF($A248="","",INDEX('Préstamos'!$B$2:$B$101,MATCH($A248,'Préstamos'!$A$2:$A$101,0)))</f>
        <v/>
      </c>
      <c r="C248" s="14" t="n"/>
      <c r="D248" s="14" t="n"/>
      <c r="E248" s="33" t="n"/>
      <c r="F248" s="29">
        <f>IF($A248="","",IF(D248="Solo interés",0,IF(AND(D248&lt;&gt;"Solo interés",C248=INDEX('Préstamos'!$G$2:$G$101,MATCH($A248,'Préstamos'!$A$2:$A$101,0))),INDEX('Préstamos'!$D$2:$D$101,MATCH($A248,'Préstamos'!$A$2:$A$101,0))-INDEX('Préstamos'!$J$2:$J$101,MATCH($A248,'Préstamos'!$A$2:$A$101,0))*(INDEX('Préstamos'!$G$2:$G$101,MATCH($A248,'Préstamos'!$A$2:$A$101,0))-1),INDEX('Préstamos'!$J$2:$J$101,MATCH($A248,'Préstamos'!$A$2:$A$101,0)))))</f>
        <v/>
      </c>
      <c r="G248" s="29">
        <f>IF($A248="","",IF(AND(D248&lt;&gt;"Solo interés",C248=INDEX('Préstamos'!$G$2:$G$101,MATCH($A248,'Préstamos'!$A$2:$A$101,0))),INDEX('Préstamos'!$I$2:$I$101,MATCH($A248,'Préstamos'!$A$2:$A$101,0))-INDEX('Préstamos'!$K$2:$K$101,MATCH($A248,'Préstamos'!$A$2:$A$101,0))*(INDEX('Préstamos'!$G$2:$G$101,MATCH($A248,'Préstamos'!$A$2:$A$101,0))-1),INDEX('Préstamos'!$K$2:$K$101,MATCH($A248,'Préstamos'!$A$2:$A$101,0))))</f>
        <v/>
      </c>
      <c r="H248" s="29">
        <f>IF($A248="","",F248+G248)</f>
        <v/>
      </c>
      <c r="I248" s="14" t="n"/>
      <c r="J248" s="33" t="n"/>
      <c r="K248" s="16">
        <f>IF(OR($A248="",I248="Pagado"),"",MAX(0,TODAY()-E248))</f>
        <v/>
      </c>
      <c r="L248" s="16">
        <f>IF($A248="","",IF(I248="Pagado","Pagado",IF(E248&lt;TODAY(),"Atrasado",IF(E248&lt;=EOMONTH(TODAY(),0),"Este mes","Pendiente"))))</f>
        <v/>
      </c>
      <c r="M248" s="20">
        <f>IF(OR($A248="",I248="Pagado"),"",HYPERLINK("https://wa.me/"&amp;IF(INDEX('Préstamos'!$C$2:$C$101,MATCH($A248,'Préstamos'!$A$2:$A$101,0))="","","51"&amp;SUBSTITUTE(INDEX('Préstamos'!$C$2:$C$101,MATCH($A248,'Préstamos'!$A$2:$A$101,0))," ",""))&amp;"?text="&amp;SUBSTITUTE("Hola "&amp;B248&amp;", te recuerdo que tu cuota de S/ "&amp;H248&amp;IF(E248&lt;TODAY()," vencio el "," vence el ")&amp;TEXT(E248,"dd/mm")&amp;". Gracias!"," ","%20"),"WhatsApp"))</f>
        <v/>
      </c>
    </row>
    <row r="249">
      <c r="A249" s="14" t="n"/>
      <c r="B249" s="16">
        <f>IF($A249="","",INDEX('Préstamos'!$B$2:$B$101,MATCH($A249,'Préstamos'!$A$2:$A$101,0)))</f>
        <v/>
      </c>
      <c r="C249" s="14" t="n"/>
      <c r="D249" s="14" t="n"/>
      <c r="E249" s="33" t="n"/>
      <c r="F249" s="29">
        <f>IF($A249="","",IF(D249="Solo interés",0,IF(AND(D249&lt;&gt;"Solo interés",C249=INDEX('Préstamos'!$G$2:$G$101,MATCH($A249,'Préstamos'!$A$2:$A$101,0))),INDEX('Préstamos'!$D$2:$D$101,MATCH($A249,'Préstamos'!$A$2:$A$101,0))-INDEX('Préstamos'!$J$2:$J$101,MATCH($A249,'Préstamos'!$A$2:$A$101,0))*(INDEX('Préstamos'!$G$2:$G$101,MATCH($A249,'Préstamos'!$A$2:$A$101,0))-1),INDEX('Préstamos'!$J$2:$J$101,MATCH($A249,'Préstamos'!$A$2:$A$101,0)))))</f>
        <v/>
      </c>
      <c r="G249" s="29">
        <f>IF($A249="","",IF(AND(D249&lt;&gt;"Solo interés",C249=INDEX('Préstamos'!$G$2:$G$101,MATCH($A249,'Préstamos'!$A$2:$A$101,0))),INDEX('Préstamos'!$I$2:$I$101,MATCH($A249,'Préstamos'!$A$2:$A$101,0))-INDEX('Préstamos'!$K$2:$K$101,MATCH($A249,'Préstamos'!$A$2:$A$101,0))*(INDEX('Préstamos'!$G$2:$G$101,MATCH($A249,'Préstamos'!$A$2:$A$101,0))-1),INDEX('Préstamos'!$K$2:$K$101,MATCH($A249,'Préstamos'!$A$2:$A$101,0))))</f>
        <v/>
      </c>
      <c r="H249" s="29">
        <f>IF($A249="","",F249+G249)</f>
        <v/>
      </c>
      <c r="I249" s="14" t="n"/>
      <c r="J249" s="33" t="n"/>
      <c r="K249" s="16">
        <f>IF(OR($A249="",I249="Pagado"),"",MAX(0,TODAY()-E249))</f>
        <v/>
      </c>
      <c r="L249" s="16">
        <f>IF($A249="","",IF(I249="Pagado","Pagado",IF(E249&lt;TODAY(),"Atrasado",IF(E249&lt;=EOMONTH(TODAY(),0),"Este mes","Pendiente"))))</f>
        <v/>
      </c>
      <c r="M249" s="20">
        <f>IF(OR($A249="",I249="Pagado"),"",HYPERLINK("https://wa.me/"&amp;IF(INDEX('Préstamos'!$C$2:$C$101,MATCH($A249,'Préstamos'!$A$2:$A$101,0))="","","51"&amp;SUBSTITUTE(INDEX('Préstamos'!$C$2:$C$101,MATCH($A249,'Préstamos'!$A$2:$A$101,0))," ",""))&amp;"?text="&amp;SUBSTITUTE("Hola "&amp;B249&amp;", te recuerdo que tu cuota de S/ "&amp;H249&amp;IF(E249&lt;TODAY()," vencio el "," vence el ")&amp;TEXT(E249,"dd/mm")&amp;". Gracias!"," ","%20"),"WhatsApp"))</f>
        <v/>
      </c>
    </row>
    <row r="250">
      <c r="A250" s="14" t="n"/>
      <c r="B250" s="16">
        <f>IF($A250="","",INDEX('Préstamos'!$B$2:$B$101,MATCH($A250,'Préstamos'!$A$2:$A$101,0)))</f>
        <v/>
      </c>
      <c r="C250" s="14" t="n"/>
      <c r="D250" s="14" t="n"/>
      <c r="E250" s="33" t="n"/>
      <c r="F250" s="29">
        <f>IF($A250="","",IF(D250="Solo interés",0,IF(AND(D250&lt;&gt;"Solo interés",C250=INDEX('Préstamos'!$G$2:$G$101,MATCH($A250,'Préstamos'!$A$2:$A$101,0))),INDEX('Préstamos'!$D$2:$D$101,MATCH($A250,'Préstamos'!$A$2:$A$101,0))-INDEX('Préstamos'!$J$2:$J$101,MATCH($A250,'Préstamos'!$A$2:$A$101,0))*(INDEX('Préstamos'!$G$2:$G$101,MATCH($A250,'Préstamos'!$A$2:$A$101,0))-1),INDEX('Préstamos'!$J$2:$J$101,MATCH($A250,'Préstamos'!$A$2:$A$101,0)))))</f>
        <v/>
      </c>
      <c r="G250" s="29">
        <f>IF($A250="","",IF(AND(D250&lt;&gt;"Solo interés",C250=INDEX('Préstamos'!$G$2:$G$101,MATCH($A250,'Préstamos'!$A$2:$A$101,0))),INDEX('Préstamos'!$I$2:$I$101,MATCH($A250,'Préstamos'!$A$2:$A$101,0))-INDEX('Préstamos'!$K$2:$K$101,MATCH($A250,'Préstamos'!$A$2:$A$101,0))*(INDEX('Préstamos'!$G$2:$G$101,MATCH($A250,'Préstamos'!$A$2:$A$101,0))-1),INDEX('Préstamos'!$K$2:$K$101,MATCH($A250,'Préstamos'!$A$2:$A$101,0))))</f>
        <v/>
      </c>
      <c r="H250" s="29">
        <f>IF($A250="","",F250+G250)</f>
        <v/>
      </c>
      <c r="I250" s="14" t="n"/>
      <c r="J250" s="33" t="n"/>
      <c r="K250" s="16">
        <f>IF(OR($A250="",I250="Pagado"),"",MAX(0,TODAY()-E250))</f>
        <v/>
      </c>
      <c r="L250" s="16">
        <f>IF($A250="","",IF(I250="Pagado","Pagado",IF(E250&lt;TODAY(),"Atrasado",IF(E250&lt;=EOMONTH(TODAY(),0),"Este mes","Pendiente"))))</f>
        <v/>
      </c>
      <c r="M250" s="20">
        <f>IF(OR($A250="",I250="Pagado"),"",HYPERLINK("https://wa.me/"&amp;IF(INDEX('Préstamos'!$C$2:$C$101,MATCH($A250,'Préstamos'!$A$2:$A$101,0))="","","51"&amp;SUBSTITUTE(INDEX('Préstamos'!$C$2:$C$101,MATCH($A250,'Préstamos'!$A$2:$A$101,0))," ",""))&amp;"?text="&amp;SUBSTITUTE("Hola "&amp;B250&amp;", te recuerdo que tu cuota de S/ "&amp;H250&amp;IF(E250&lt;TODAY()," vencio el "," vence el ")&amp;TEXT(E250,"dd/mm")&amp;". Gracias!"," ","%20"),"WhatsApp"))</f>
        <v/>
      </c>
    </row>
    <row r="251">
      <c r="A251" s="14" t="n"/>
      <c r="B251" s="16">
        <f>IF($A251="","",INDEX('Préstamos'!$B$2:$B$101,MATCH($A251,'Préstamos'!$A$2:$A$101,0)))</f>
        <v/>
      </c>
      <c r="C251" s="14" t="n"/>
      <c r="D251" s="14" t="n"/>
      <c r="E251" s="33" t="n"/>
      <c r="F251" s="29">
        <f>IF($A251="","",IF(D251="Solo interés",0,IF(AND(D251&lt;&gt;"Solo interés",C251=INDEX('Préstamos'!$G$2:$G$101,MATCH($A251,'Préstamos'!$A$2:$A$101,0))),INDEX('Préstamos'!$D$2:$D$101,MATCH($A251,'Préstamos'!$A$2:$A$101,0))-INDEX('Préstamos'!$J$2:$J$101,MATCH($A251,'Préstamos'!$A$2:$A$101,0))*(INDEX('Préstamos'!$G$2:$G$101,MATCH($A251,'Préstamos'!$A$2:$A$101,0))-1),INDEX('Préstamos'!$J$2:$J$101,MATCH($A251,'Préstamos'!$A$2:$A$101,0)))))</f>
        <v/>
      </c>
      <c r="G251" s="29">
        <f>IF($A251="","",IF(AND(D251&lt;&gt;"Solo interés",C251=INDEX('Préstamos'!$G$2:$G$101,MATCH($A251,'Préstamos'!$A$2:$A$101,0))),INDEX('Préstamos'!$I$2:$I$101,MATCH($A251,'Préstamos'!$A$2:$A$101,0))-INDEX('Préstamos'!$K$2:$K$101,MATCH($A251,'Préstamos'!$A$2:$A$101,0))*(INDEX('Préstamos'!$G$2:$G$101,MATCH($A251,'Préstamos'!$A$2:$A$101,0))-1),INDEX('Préstamos'!$K$2:$K$101,MATCH($A251,'Préstamos'!$A$2:$A$101,0))))</f>
        <v/>
      </c>
      <c r="H251" s="29">
        <f>IF($A251="","",F251+G251)</f>
        <v/>
      </c>
      <c r="I251" s="14" t="n"/>
      <c r="J251" s="33" t="n"/>
      <c r="K251" s="16">
        <f>IF(OR($A251="",I251="Pagado"),"",MAX(0,TODAY()-E251))</f>
        <v/>
      </c>
      <c r="L251" s="16">
        <f>IF($A251="","",IF(I251="Pagado","Pagado",IF(E251&lt;TODAY(),"Atrasado",IF(E251&lt;=EOMONTH(TODAY(),0),"Este mes","Pendiente"))))</f>
        <v/>
      </c>
      <c r="M251" s="20">
        <f>IF(OR($A251="",I251="Pagado"),"",HYPERLINK("https://wa.me/"&amp;IF(INDEX('Préstamos'!$C$2:$C$101,MATCH($A251,'Préstamos'!$A$2:$A$101,0))="","","51"&amp;SUBSTITUTE(INDEX('Préstamos'!$C$2:$C$101,MATCH($A251,'Préstamos'!$A$2:$A$101,0))," ",""))&amp;"?text="&amp;SUBSTITUTE("Hola "&amp;B251&amp;", te recuerdo que tu cuota de S/ "&amp;H251&amp;IF(E251&lt;TODAY()," vencio el "," vence el ")&amp;TEXT(E251,"dd/mm")&amp;". Gracias!"," ","%20"),"WhatsApp"))</f>
        <v/>
      </c>
    </row>
    <row r="252">
      <c r="A252" s="14" t="n"/>
      <c r="B252" s="16">
        <f>IF($A252="","",INDEX('Préstamos'!$B$2:$B$101,MATCH($A252,'Préstamos'!$A$2:$A$101,0)))</f>
        <v/>
      </c>
      <c r="C252" s="14" t="n"/>
      <c r="D252" s="14" t="n"/>
      <c r="E252" s="33" t="n"/>
      <c r="F252" s="29">
        <f>IF($A252="","",IF(D252="Solo interés",0,IF(AND(D252&lt;&gt;"Solo interés",C252=INDEX('Préstamos'!$G$2:$G$101,MATCH($A252,'Préstamos'!$A$2:$A$101,0))),INDEX('Préstamos'!$D$2:$D$101,MATCH($A252,'Préstamos'!$A$2:$A$101,0))-INDEX('Préstamos'!$J$2:$J$101,MATCH($A252,'Préstamos'!$A$2:$A$101,0))*(INDEX('Préstamos'!$G$2:$G$101,MATCH($A252,'Préstamos'!$A$2:$A$101,0))-1),INDEX('Préstamos'!$J$2:$J$101,MATCH($A252,'Préstamos'!$A$2:$A$101,0)))))</f>
        <v/>
      </c>
      <c r="G252" s="29">
        <f>IF($A252="","",IF(AND(D252&lt;&gt;"Solo interés",C252=INDEX('Préstamos'!$G$2:$G$101,MATCH($A252,'Préstamos'!$A$2:$A$101,0))),INDEX('Préstamos'!$I$2:$I$101,MATCH($A252,'Préstamos'!$A$2:$A$101,0))-INDEX('Préstamos'!$K$2:$K$101,MATCH($A252,'Préstamos'!$A$2:$A$101,0))*(INDEX('Préstamos'!$G$2:$G$101,MATCH($A252,'Préstamos'!$A$2:$A$101,0))-1),INDEX('Préstamos'!$K$2:$K$101,MATCH($A252,'Préstamos'!$A$2:$A$101,0))))</f>
        <v/>
      </c>
      <c r="H252" s="29">
        <f>IF($A252="","",F252+G252)</f>
        <v/>
      </c>
      <c r="I252" s="14" t="n"/>
      <c r="J252" s="33" t="n"/>
      <c r="K252" s="16">
        <f>IF(OR($A252="",I252="Pagado"),"",MAX(0,TODAY()-E252))</f>
        <v/>
      </c>
      <c r="L252" s="16">
        <f>IF($A252="","",IF(I252="Pagado","Pagado",IF(E252&lt;TODAY(),"Atrasado",IF(E252&lt;=EOMONTH(TODAY(),0),"Este mes","Pendiente"))))</f>
        <v/>
      </c>
      <c r="M252" s="20">
        <f>IF(OR($A252="",I252="Pagado"),"",HYPERLINK("https://wa.me/"&amp;IF(INDEX('Préstamos'!$C$2:$C$101,MATCH($A252,'Préstamos'!$A$2:$A$101,0))="","","51"&amp;SUBSTITUTE(INDEX('Préstamos'!$C$2:$C$101,MATCH($A252,'Préstamos'!$A$2:$A$101,0))," ",""))&amp;"?text="&amp;SUBSTITUTE("Hola "&amp;B252&amp;", te recuerdo que tu cuota de S/ "&amp;H252&amp;IF(E252&lt;TODAY()," vencio el "," vence el ")&amp;TEXT(E252,"dd/mm")&amp;". Gracias!"," ","%20"),"WhatsApp"))</f>
        <v/>
      </c>
    </row>
    <row r="253">
      <c r="A253" s="14" t="n"/>
      <c r="B253" s="16">
        <f>IF($A253="","",INDEX('Préstamos'!$B$2:$B$101,MATCH($A253,'Préstamos'!$A$2:$A$101,0)))</f>
        <v/>
      </c>
      <c r="C253" s="14" t="n"/>
      <c r="D253" s="14" t="n"/>
      <c r="E253" s="33" t="n"/>
      <c r="F253" s="29">
        <f>IF($A253="","",IF(D253="Solo interés",0,IF(AND(D253&lt;&gt;"Solo interés",C253=INDEX('Préstamos'!$G$2:$G$101,MATCH($A253,'Préstamos'!$A$2:$A$101,0))),INDEX('Préstamos'!$D$2:$D$101,MATCH($A253,'Préstamos'!$A$2:$A$101,0))-INDEX('Préstamos'!$J$2:$J$101,MATCH($A253,'Préstamos'!$A$2:$A$101,0))*(INDEX('Préstamos'!$G$2:$G$101,MATCH($A253,'Préstamos'!$A$2:$A$101,0))-1),INDEX('Préstamos'!$J$2:$J$101,MATCH($A253,'Préstamos'!$A$2:$A$101,0)))))</f>
        <v/>
      </c>
      <c r="G253" s="29">
        <f>IF($A253="","",IF(AND(D253&lt;&gt;"Solo interés",C253=INDEX('Préstamos'!$G$2:$G$101,MATCH($A253,'Préstamos'!$A$2:$A$101,0))),INDEX('Préstamos'!$I$2:$I$101,MATCH($A253,'Préstamos'!$A$2:$A$101,0))-INDEX('Préstamos'!$K$2:$K$101,MATCH($A253,'Préstamos'!$A$2:$A$101,0))*(INDEX('Préstamos'!$G$2:$G$101,MATCH($A253,'Préstamos'!$A$2:$A$101,0))-1),INDEX('Préstamos'!$K$2:$K$101,MATCH($A253,'Préstamos'!$A$2:$A$101,0))))</f>
        <v/>
      </c>
      <c r="H253" s="29">
        <f>IF($A253="","",F253+G253)</f>
        <v/>
      </c>
      <c r="I253" s="14" t="n"/>
      <c r="J253" s="33" t="n"/>
      <c r="K253" s="16">
        <f>IF(OR($A253="",I253="Pagado"),"",MAX(0,TODAY()-E253))</f>
        <v/>
      </c>
      <c r="L253" s="16">
        <f>IF($A253="","",IF(I253="Pagado","Pagado",IF(E253&lt;TODAY(),"Atrasado",IF(E253&lt;=EOMONTH(TODAY(),0),"Este mes","Pendiente"))))</f>
        <v/>
      </c>
      <c r="M253" s="20">
        <f>IF(OR($A253="",I253="Pagado"),"",HYPERLINK("https://wa.me/"&amp;IF(INDEX('Préstamos'!$C$2:$C$101,MATCH($A253,'Préstamos'!$A$2:$A$101,0))="","","51"&amp;SUBSTITUTE(INDEX('Préstamos'!$C$2:$C$101,MATCH($A253,'Préstamos'!$A$2:$A$101,0))," ",""))&amp;"?text="&amp;SUBSTITUTE("Hola "&amp;B253&amp;", te recuerdo que tu cuota de S/ "&amp;H253&amp;IF(E253&lt;TODAY()," vencio el "," vence el ")&amp;TEXT(E253,"dd/mm")&amp;". Gracias!"," ","%20"),"WhatsApp"))</f>
        <v/>
      </c>
    </row>
    <row r="254">
      <c r="A254" s="14" t="n"/>
      <c r="B254" s="16">
        <f>IF($A254="","",INDEX('Préstamos'!$B$2:$B$101,MATCH($A254,'Préstamos'!$A$2:$A$101,0)))</f>
        <v/>
      </c>
      <c r="C254" s="14" t="n"/>
      <c r="D254" s="14" t="n"/>
      <c r="E254" s="33" t="n"/>
      <c r="F254" s="29">
        <f>IF($A254="","",IF(D254="Solo interés",0,IF(AND(D254&lt;&gt;"Solo interés",C254=INDEX('Préstamos'!$G$2:$G$101,MATCH($A254,'Préstamos'!$A$2:$A$101,0))),INDEX('Préstamos'!$D$2:$D$101,MATCH($A254,'Préstamos'!$A$2:$A$101,0))-INDEX('Préstamos'!$J$2:$J$101,MATCH($A254,'Préstamos'!$A$2:$A$101,0))*(INDEX('Préstamos'!$G$2:$G$101,MATCH($A254,'Préstamos'!$A$2:$A$101,0))-1),INDEX('Préstamos'!$J$2:$J$101,MATCH($A254,'Préstamos'!$A$2:$A$101,0)))))</f>
        <v/>
      </c>
      <c r="G254" s="29">
        <f>IF($A254="","",IF(AND(D254&lt;&gt;"Solo interés",C254=INDEX('Préstamos'!$G$2:$G$101,MATCH($A254,'Préstamos'!$A$2:$A$101,0))),INDEX('Préstamos'!$I$2:$I$101,MATCH($A254,'Préstamos'!$A$2:$A$101,0))-INDEX('Préstamos'!$K$2:$K$101,MATCH($A254,'Préstamos'!$A$2:$A$101,0))*(INDEX('Préstamos'!$G$2:$G$101,MATCH($A254,'Préstamos'!$A$2:$A$101,0))-1),INDEX('Préstamos'!$K$2:$K$101,MATCH($A254,'Préstamos'!$A$2:$A$101,0))))</f>
        <v/>
      </c>
      <c r="H254" s="29">
        <f>IF($A254="","",F254+G254)</f>
        <v/>
      </c>
      <c r="I254" s="14" t="n"/>
      <c r="J254" s="33" t="n"/>
      <c r="K254" s="16">
        <f>IF(OR($A254="",I254="Pagado"),"",MAX(0,TODAY()-E254))</f>
        <v/>
      </c>
      <c r="L254" s="16">
        <f>IF($A254="","",IF(I254="Pagado","Pagado",IF(E254&lt;TODAY(),"Atrasado",IF(E254&lt;=EOMONTH(TODAY(),0),"Este mes","Pendiente"))))</f>
        <v/>
      </c>
      <c r="M254" s="20">
        <f>IF(OR($A254="",I254="Pagado"),"",HYPERLINK("https://wa.me/"&amp;IF(INDEX('Préstamos'!$C$2:$C$101,MATCH($A254,'Préstamos'!$A$2:$A$101,0))="","","51"&amp;SUBSTITUTE(INDEX('Préstamos'!$C$2:$C$101,MATCH($A254,'Préstamos'!$A$2:$A$101,0))," ",""))&amp;"?text="&amp;SUBSTITUTE("Hola "&amp;B254&amp;", te recuerdo que tu cuota de S/ "&amp;H254&amp;IF(E254&lt;TODAY()," vencio el "," vence el ")&amp;TEXT(E254,"dd/mm")&amp;". Gracias!"," ","%20"),"WhatsApp"))</f>
        <v/>
      </c>
    </row>
    <row r="255">
      <c r="A255" s="14" t="n"/>
      <c r="B255" s="16">
        <f>IF($A255="","",INDEX('Préstamos'!$B$2:$B$101,MATCH($A255,'Préstamos'!$A$2:$A$101,0)))</f>
        <v/>
      </c>
      <c r="C255" s="14" t="n"/>
      <c r="D255" s="14" t="n"/>
      <c r="E255" s="33" t="n"/>
      <c r="F255" s="29">
        <f>IF($A255="","",IF(D255="Solo interés",0,IF(AND(D255&lt;&gt;"Solo interés",C255=INDEX('Préstamos'!$G$2:$G$101,MATCH($A255,'Préstamos'!$A$2:$A$101,0))),INDEX('Préstamos'!$D$2:$D$101,MATCH($A255,'Préstamos'!$A$2:$A$101,0))-INDEX('Préstamos'!$J$2:$J$101,MATCH($A255,'Préstamos'!$A$2:$A$101,0))*(INDEX('Préstamos'!$G$2:$G$101,MATCH($A255,'Préstamos'!$A$2:$A$101,0))-1),INDEX('Préstamos'!$J$2:$J$101,MATCH($A255,'Préstamos'!$A$2:$A$101,0)))))</f>
        <v/>
      </c>
      <c r="G255" s="29">
        <f>IF($A255="","",IF(AND(D255&lt;&gt;"Solo interés",C255=INDEX('Préstamos'!$G$2:$G$101,MATCH($A255,'Préstamos'!$A$2:$A$101,0))),INDEX('Préstamos'!$I$2:$I$101,MATCH($A255,'Préstamos'!$A$2:$A$101,0))-INDEX('Préstamos'!$K$2:$K$101,MATCH($A255,'Préstamos'!$A$2:$A$101,0))*(INDEX('Préstamos'!$G$2:$G$101,MATCH($A255,'Préstamos'!$A$2:$A$101,0))-1),INDEX('Préstamos'!$K$2:$K$101,MATCH($A255,'Préstamos'!$A$2:$A$101,0))))</f>
        <v/>
      </c>
      <c r="H255" s="29">
        <f>IF($A255="","",F255+G255)</f>
        <v/>
      </c>
      <c r="I255" s="14" t="n"/>
      <c r="J255" s="33" t="n"/>
      <c r="K255" s="16">
        <f>IF(OR($A255="",I255="Pagado"),"",MAX(0,TODAY()-E255))</f>
        <v/>
      </c>
      <c r="L255" s="16">
        <f>IF($A255="","",IF(I255="Pagado","Pagado",IF(E255&lt;TODAY(),"Atrasado",IF(E255&lt;=EOMONTH(TODAY(),0),"Este mes","Pendiente"))))</f>
        <v/>
      </c>
      <c r="M255" s="20">
        <f>IF(OR($A255="",I255="Pagado"),"",HYPERLINK("https://wa.me/"&amp;IF(INDEX('Préstamos'!$C$2:$C$101,MATCH($A255,'Préstamos'!$A$2:$A$101,0))="","","51"&amp;SUBSTITUTE(INDEX('Préstamos'!$C$2:$C$101,MATCH($A255,'Préstamos'!$A$2:$A$101,0))," ",""))&amp;"?text="&amp;SUBSTITUTE("Hola "&amp;B255&amp;", te recuerdo que tu cuota de S/ "&amp;H255&amp;IF(E255&lt;TODAY()," vencio el "," vence el ")&amp;TEXT(E255,"dd/mm")&amp;". Gracias!"," ","%20"),"WhatsApp"))</f>
        <v/>
      </c>
    </row>
    <row r="256">
      <c r="A256" s="14" t="n"/>
      <c r="B256" s="16">
        <f>IF($A256="","",INDEX('Préstamos'!$B$2:$B$101,MATCH($A256,'Préstamos'!$A$2:$A$101,0)))</f>
        <v/>
      </c>
      <c r="C256" s="14" t="n"/>
      <c r="D256" s="14" t="n"/>
      <c r="E256" s="33" t="n"/>
      <c r="F256" s="29">
        <f>IF($A256="","",IF(D256="Solo interés",0,IF(AND(D256&lt;&gt;"Solo interés",C256=INDEX('Préstamos'!$G$2:$G$101,MATCH($A256,'Préstamos'!$A$2:$A$101,0))),INDEX('Préstamos'!$D$2:$D$101,MATCH($A256,'Préstamos'!$A$2:$A$101,0))-INDEX('Préstamos'!$J$2:$J$101,MATCH($A256,'Préstamos'!$A$2:$A$101,0))*(INDEX('Préstamos'!$G$2:$G$101,MATCH($A256,'Préstamos'!$A$2:$A$101,0))-1),INDEX('Préstamos'!$J$2:$J$101,MATCH($A256,'Préstamos'!$A$2:$A$101,0)))))</f>
        <v/>
      </c>
      <c r="G256" s="29">
        <f>IF($A256="","",IF(AND(D256&lt;&gt;"Solo interés",C256=INDEX('Préstamos'!$G$2:$G$101,MATCH($A256,'Préstamos'!$A$2:$A$101,0))),INDEX('Préstamos'!$I$2:$I$101,MATCH($A256,'Préstamos'!$A$2:$A$101,0))-INDEX('Préstamos'!$K$2:$K$101,MATCH($A256,'Préstamos'!$A$2:$A$101,0))*(INDEX('Préstamos'!$G$2:$G$101,MATCH($A256,'Préstamos'!$A$2:$A$101,0))-1),INDEX('Préstamos'!$K$2:$K$101,MATCH($A256,'Préstamos'!$A$2:$A$101,0))))</f>
        <v/>
      </c>
      <c r="H256" s="29">
        <f>IF($A256="","",F256+G256)</f>
        <v/>
      </c>
      <c r="I256" s="14" t="n"/>
      <c r="J256" s="33" t="n"/>
      <c r="K256" s="16">
        <f>IF(OR($A256="",I256="Pagado"),"",MAX(0,TODAY()-E256))</f>
        <v/>
      </c>
      <c r="L256" s="16">
        <f>IF($A256="","",IF(I256="Pagado","Pagado",IF(E256&lt;TODAY(),"Atrasado",IF(E256&lt;=EOMONTH(TODAY(),0),"Este mes","Pendiente"))))</f>
        <v/>
      </c>
      <c r="M256" s="20">
        <f>IF(OR($A256="",I256="Pagado"),"",HYPERLINK("https://wa.me/"&amp;IF(INDEX('Préstamos'!$C$2:$C$101,MATCH($A256,'Préstamos'!$A$2:$A$101,0))="","","51"&amp;SUBSTITUTE(INDEX('Préstamos'!$C$2:$C$101,MATCH($A256,'Préstamos'!$A$2:$A$101,0))," ",""))&amp;"?text="&amp;SUBSTITUTE("Hola "&amp;B256&amp;", te recuerdo que tu cuota de S/ "&amp;H256&amp;IF(E256&lt;TODAY()," vencio el "," vence el ")&amp;TEXT(E256,"dd/mm")&amp;". Gracias!"," ","%20"),"WhatsApp"))</f>
        <v/>
      </c>
    </row>
    <row r="257">
      <c r="A257" s="14" t="n"/>
      <c r="B257" s="16">
        <f>IF($A257="","",INDEX('Préstamos'!$B$2:$B$101,MATCH($A257,'Préstamos'!$A$2:$A$101,0)))</f>
        <v/>
      </c>
      <c r="C257" s="14" t="n"/>
      <c r="D257" s="14" t="n"/>
      <c r="E257" s="33" t="n"/>
      <c r="F257" s="29">
        <f>IF($A257="","",IF(D257="Solo interés",0,IF(AND(D257&lt;&gt;"Solo interés",C257=INDEX('Préstamos'!$G$2:$G$101,MATCH($A257,'Préstamos'!$A$2:$A$101,0))),INDEX('Préstamos'!$D$2:$D$101,MATCH($A257,'Préstamos'!$A$2:$A$101,0))-INDEX('Préstamos'!$J$2:$J$101,MATCH($A257,'Préstamos'!$A$2:$A$101,0))*(INDEX('Préstamos'!$G$2:$G$101,MATCH($A257,'Préstamos'!$A$2:$A$101,0))-1),INDEX('Préstamos'!$J$2:$J$101,MATCH($A257,'Préstamos'!$A$2:$A$101,0)))))</f>
        <v/>
      </c>
      <c r="G257" s="29">
        <f>IF($A257="","",IF(AND(D257&lt;&gt;"Solo interés",C257=INDEX('Préstamos'!$G$2:$G$101,MATCH($A257,'Préstamos'!$A$2:$A$101,0))),INDEX('Préstamos'!$I$2:$I$101,MATCH($A257,'Préstamos'!$A$2:$A$101,0))-INDEX('Préstamos'!$K$2:$K$101,MATCH($A257,'Préstamos'!$A$2:$A$101,0))*(INDEX('Préstamos'!$G$2:$G$101,MATCH($A257,'Préstamos'!$A$2:$A$101,0))-1),INDEX('Préstamos'!$K$2:$K$101,MATCH($A257,'Préstamos'!$A$2:$A$101,0))))</f>
        <v/>
      </c>
      <c r="H257" s="29">
        <f>IF($A257="","",F257+G257)</f>
        <v/>
      </c>
      <c r="I257" s="14" t="n"/>
      <c r="J257" s="33" t="n"/>
      <c r="K257" s="16">
        <f>IF(OR($A257="",I257="Pagado"),"",MAX(0,TODAY()-E257))</f>
        <v/>
      </c>
      <c r="L257" s="16">
        <f>IF($A257="","",IF(I257="Pagado","Pagado",IF(E257&lt;TODAY(),"Atrasado",IF(E257&lt;=EOMONTH(TODAY(),0),"Este mes","Pendiente"))))</f>
        <v/>
      </c>
      <c r="M257" s="20">
        <f>IF(OR($A257="",I257="Pagado"),"",HYPERLINK("https://wa.me/"&amp;IF(INDEX('Préstamos'!$C$2:$C$101,MATCH($A257,'Préstamos'!$A$2:$A$101,0))="","","51"&amp;SUBSTITUTE(INDEX('Préstamos'!$C$2:$C$101,MATCH($A257,'Préstamos'!$A$2:$A$101,0))," ",""))&amp;"?text="&amp;SUBSTITUTE("Hola "&amp;B257&amp;", te recuerdo que tu cuota de S/ "&amp;H257&amp;IF(E257&lt;TODAY()," vencio el "," vence el ")&amp;TEXT(E257,"dd/mm")&amp;". Gracias!"," ","%20"),"WhatsApp"))</f>
        <v/>
      </c>
    </row>
    <row r="258">
      <c r="A258" s="14" t="n"/>
      <c r="B258" s="16">
        <f>IF($A258="","",INDEX('Préstamos'!$B$2:$B$101,MATCH($A258,'Préstamos'!$A$2:$A$101,0)))</f>
        <v/>
      </c>
      <c r="C258" s="14" t="n"/>
      <c r="D258" s="14" t="n"/>
      <c r="E258" s="33" t="n"/>
      <c r="F258" s="29">
        <f>IF($A258="","",IF(D258="Solo interés",0,IF(AND(D258&lt;&gt;"Solo interés",C258=INDEX('Préstamos'!$G$2:$G$101,MATCH($A258,'Préstamos'!$A$2:$A$101,0))),INDEX('Préstamos'!$D$2:$D$101,MATCH($A258,'Préstamos'!$A$2:$A$101,0))-INDEX('Préstamos'!$J$2:$J$101,MATCH($A258,'Préstamos'!$A$2:$A$101,0))*(INDEX('Préstamos'!$G$2:$G$101,MATCH($A258,'Préstamos'!$A$2:$A$101,0))-1),INDEX('Préstamos'!$J$2:$J$101,MATCH($A258,'Préstamos'!$A$2:$A$101,0)))))</f>
        <v/>
      </c>
      <c r="G258" s="29">
        <f>IF($A258="","",IF(AND(D258&lt;&gt;"Solo interés",C258=INDEX('Préstamos'!$G$2:$G$101,MATCH($A258,'Préstamos'!$A$2:$A$101,0))),INDEX('Préstamos'!$I$2:$I$101,MATCH($A258,'Préstamos'!$A$2:$A$101,0))-INDEX('Préstamos'!$K$2:$K$101,MATCH($A258,'Préstamos'!$A$2:$A$101,0))*(INDEX('Préstamos'!$G$2:$G$101,MATCH($A258,'Préstamos'!$A$2:$A$101,0))-1),INDEX('Préstamos'!$K$2:$K$101,MATCH($A258,'Préstamos'!$A$2:$A$101,0))))</f>
        <v/>
      </c>
      <c r="H258" s="29">
        <f>IF($A258="","",F258+G258)</f>
        <v/>
      </c>
      <c r="I258" s="14" t="n"/>
      <c r="J258" s="33" t="n"/>
      <c r="K258" s="16">
        <f>IF(OR($A258="",I258="Pagado"),"",MAX(0,TODAY()-E258))</f>
        <v/>
      </c>
      <c r="L258" s="16">
        <f>IF($A258="","",IF(I258="Pagado","Pagado",IF(E258&lt;TODAY(),"Atrasado",IF(E258&lt;=EOMONTH(TODAY(),0),"Este mes","Pendiente"))))</f>
        <v/>
      </c>
      <c r="M258" s="20">
        <f>IF(OR($A258="",I258="Pagado"),"",HYPERLINK("https://wa.me/"&amp;IF(INDEX('Préstamos'!$C$2:$C$101,MATCH($A258,'Préstamos'!$A$2:$A$101,0))="","","51"&amp;SUBSTITUTE(INDEX('Préstamos'!$C$2:$C$101,MATCH($A258,'Préstamos'!$A$2:$A$101,0))," ",""))&amp;"?text="&amp;SUBSTITUTE("Hola "&amp;B258&amp;", te recuerdo que tu cuota de S/ "&amp;H258&amp;IF(E258&lt;TODAY()," vencio el "," vence el ")&amp;TEXT(E258,"dd/mm")&amp;". Gracias!"," ","%20"),"WhatsApp"))</f>
        <v/>
      </c>
    </row>
    <row r="259">
      <c r="A259" s="14" t="n"/>
      <c r="B259" s="16">
        <f>IF($A259="","",INDEX('Préstamos'!$B$2:$B$101,MATCH($A259,'Préstamos'!$A$2:$A$101,0)))</f>
        <v/>
      </c>
      <c r="C259" s="14" t="n"/>
      <c r="D259" s="14" t="n"/>
      <c r="E259" s="33" t="n"/>
      <c r="F259" s="29">
        <f>IF($A259="","",IF(D259="Solo interés",0,IF(AND(D259&lt;&gt;"Solo interés",C259=INDEX('Préstamos'!$G$2:$G$101,MATCH($A259,'Préstamos'!$A$2:$A$101,0))),INDEX('Préstamos'!$D$2:$D$101,MATCH($A259,'Préstamos'!$A$2:$A$101,0))-INDEX('Préstamos'!$J$2:$J$101,MATCH($A259,'Préstamos'!$A$2:$A$101,0))*(INDEX('Préstamos'!$G$2:$G$101,MATCH($A259,'Préstamos'!$A$2:$A$101,0))-1),INDEX('Préstamos'!$J$2:$J$101,MATCH($A259,'Préstamos'!$A$2:$A$101,0)))))</f>
        <v/>
      </c>
      <c r="G259" s="29">
        <f>IF($A259="","",IF(AND(D259&lt;&gt;"Solo interés",C259=INDEX('Préstamos'!$G$2:$G$101,MATCH($A259,'Préstamos'!$A$2:$A$101,0))),INDEX('Préstamos'!$I$2:$I$101,MATCH($A259,'Préstamos'!$A$2:$A$101,0))-INDEX('Préstamos'!$K$2:$K$101,MATCH($A259,'Préstamos'!$A$2:$A$101,0))*(INDEX('Préstamos'!$G$2:$G$101,MATCH($A259,'Préstamos'!$A$2:$A$101,0))-1),INDEX('Préstamos'!$K$2:$K$101,MATCH($A259,'Préstamos'!$A$2:$A$101,0))))</f>
        <v/>
      </c>
      <c r="H259" s="29">
        <f>IF($A259="","",F259+G259)</f>
        <v/>
      </c>
      <c r="I259" s="14" t="n"/>
      <c r="J259" s="33" t="n"/>
      <c r="K259" s="16">
        <f>IF(OR($A259="",I259="Pagado"),"",MAX(0,TODAY()-E259))</f>
        <v/>
      </c>
      <c r="L259" s="16">
        <f>IF($A259="","",IF(I259="Pagado","Pagado",IF(E259&lt;TODAY(),"Atrasado",IF(E259&lt;=EOMONTH(TODAY(),0),"Este mes","Pendiente"))))</f>
        <v/>
      </c>
      <c r="M259" s="20">
        <f>IF(OR($A259="",I259="Pagado"),"",HYPERLINK("https://wa.me/"&amp;IF(INDEX('Préstamos'!$C$2:$C$101,MATCH($A259,'Préstamos'!$A$2:$A$101,0))="","","51"&amp;SUBSTITUTE(INDEX('Préstamos'!$C$2:$C$101,MATCH($A259,'Préstamos'!$A$2:$A$101,0))," ",""))&amp;"?text="&amp;SUBSTITUTE("Hola "&amp;B259&amp;", te recuerdo que tu cuota de S/ "&amp;H259&amp;IF(E259&lt;TODAY()," vencio el "," vence el ")&amp;TEXT(E259,"dd/mm")&amp;". Gracias!"," ","%20"),"WhatsApp"))</f>
        <v/>
      </c>
    </row>
    <row r="260">
      <c r="A260" s="14" t="n"/>
      <c r="B260" s="16">
        <f>IF($A260="","",INDEX('Préstamos'!$B$2:$B$101,MATCH($A260,'Préstamos'!$A$2:$A$101,0)))</f>
        <v/>
      </c>
      <c r="C260" s="14" t="n"/>
      <c r="D260" s="14" t="n"/>
      <c r="E260" s="33" t="n"/>
      <c r="F260" s="29">
        <f>IF($A260="","",IF(D260="Solo interés",0,IF(AND(D260&lt;&gt;"Solo interés",C260=INDEX('Préstamos'!$G$2:$G$101,MATCH($A260,'Préstamos'!$A$2:$A$101,0))),INDEX('Préstamos'!$D$2:$D$101,MATCH($A260,'Préstamos'!$A$2:$A$101,0))-INDEX('Préstamos'!$J$2:$J$101,MATCH($A260,'Préstamos'!$A$2:$A$101,0))*(INDEX('Préstamos'!$G$2:$G$101,MATCH($A260,'Préstamos'!$A$2:$A$101,0))-1),INDEX('Préstamos'!$J$2:$J$101,MATCH($A260,'Préstamos'!$A$2:$A$101,0)))))</f>
        <v/>
      </c>
      <c r="G260" s="29">
        <f>IF($A260="","",IF(AND(D260&lt;&gt;"Solo interés",C260=INDEX('Préstamos'!$G$2:$G$101,MATCH($A260,'Préstamos'!$A$2:$A$101,0))),INDEX('Préstamos'!$I$2:$I$101,MATCH($A260,'Préstamos'!$A$2:$A$101,0))-INDEX('Préstamos'!$K$2:$K$101,MATCH($A260,'Préstamos'!$A$2:$A$101,0))*(INDEX('Préstamos'!$G$2:$G$101,MATCH($A260,'Préstamos'!$A$2:$A$101,0))-1),INDEX('Préstamos'!$K$2:$K$101,MATCH($A260,'Préstamos'!$A$2:$A$101,0))))</f>
        <v/>
      </c>
      <c r="H260" s="29">
        <f>IF($A260="","",F260+G260)</f>
        <v/>
      </c>
      <c r="I260" s="14" t="n"/>
      <c r="J260" s="33" t="n"/>
      <c r="K260" s="16">
        <f>IF(OR($A260="",I260="Pagado"),"",MAX(0,TODAY()-E260))</f>
        <v/>
      </c>
      <c r="L260" s="16">
        <f>IF($A260="","",IF(I260="Pagado","Pagado",IF(E260&lt;TODAY(),"Atrasado",IF(E260&lt;=EOMONTH(TODAY(),0),"Este mes","Pendiente"))))</f>
        <v/>
      </c>
      <c r="M260" s="20">
        <f>IF(OR($A260="",I260="Pagado"),"",HYPERLINK("https://wa.me/"&amp;IF(INDEX('Préstamos'!$C$2:$C$101,MATCH($A260,'Préstamos'!$A$2:$A$101,0))="","","51"&amp;SUBSTITUTE(INDEX('Préstamos'!$C$2:$C$101,MATCH($A260,'Préstamos'!$A$2:$A$101,0))," ",""))&amp;"?text="&amp;SUBSTITUTE("Hola "&amp;B260&amp;", te recuerdo que tu cuota de S/ "&amp;H260&amp;IF(E260&lt;TODAY()," vencio el "," vence el ")&amp;TEXT(E260,"dd/mm")&amp;". Gracias!"," ","%20"),"WhatsApp"))</f>
        <v/>
      </c>
    </row>
    <row r="261">
      <c r="A261" s="14" t="n"/>
      <c r="B261" s="16">
        <f>IF($A261="","",INDEX('Préstamos'!$B$2:$B$101,MATCH($A261,'Préstamos'!$A$2:$A$101,0)))</f>
        <v/>
      </c>
      <c r="C261" s="14" t="n"/>
      <c r="D261" s="14" t="n"/>
      <c r="E261" s="33" t="n"/>
      <c r="F261" s="29">
        <f>IF($A261="","",IF(D261="Solo interés",0,IF(AND(D261&lt;&gt;"Solo interés",C261=INDEX('Préstamos'!$G$2:$G$101,MATCH($A261,'Préstamos'!$A$2:$A$101,0))),INDEX('Préstamos'!$D$2:$D$101,MATCH($A261,'Préstamos'!$A$2:$A$101,0))-INDEX('Préstamos'!$J$2:$J$101,MATCH($A261,'Préstamos'!$A$2:$A$101,0))*(INDEX('Préstamos'!$G$2:$G$101,MATCH($A261,'Préstamos'!$A$2:$A$101,0))-1),INDEX('Préstamos'!$J$2:$J$101,MATCH($A261,'Préstamos'!$A$2:$A$101,0)))))</f>
        <v/>
      </c>
      <c r="G261" s="29">
        <f>IF($A261="","",IF(AND(D261&lt;&gt;"Solo interés",C261=INDEX('Préstamos'!$G$2:$G$101,MATCH($A261,'Préstamos'!$A$2:$A$101,0))),INDEX('Préstamos'!$I$2:$I$101,MATCH($A261,'Préstamos'!$A$2:$A$101,0))-INDEX('Préstamos'!$K$2:$K$101,MATCH($A261,'Préstamos'!$A$2:$A$101,0))*(INDEX('Préstamos'!$G$2:$G$101,MATCH($A261,'Préstamos'!$A$2:$A$101,0))-1),INDEX('Préstamos'!$K$2:$K$101,MATCH($A261,'Préstamos'!$A$2:$A$101,0))))</f>
        <v/>
      </c>
      <c r="H261" s="29">
        <f>IF($A261="","",F261+G261)</f>
        <v/>
      </c>
      <c r="I261" s="14" t="n"/>
      <c r="J261" s="33" t="n"/>
      <c r="K261" s="16">
        <f>IF(OR($A261="",I261="Pagado"),"",MAX(0,TODAY()-E261))</f>
        <v/>
      </c>
      <c r="L261" s="16">
        <f>IF($A261="","",IF(I261="Pagado","Pagado",IF(E261&lt;TODAY(),"Atrasado",IF(E261&lt;=EOMONTH(TODAY(),0),"Este mes","Pendiente"))))</f>
        <v/>
      </c>
      <c r="M261" s="20">
        <f>IF(OR($A261="",I261="Pagado"),"",HYPERLINK("https://wa.me/"&amp;IF(INDEX('Préstamos'!$C$2:$C$101,MATCH($A261,'Préstamos'!$A$2:$A$101,0))="","","51"&amp;SUBSTITUTE(INDEX('Préstamos'!$C$2:$C$101,MATCH($A261,'Préstamos'!$A$2:$A$101,0))," ",""))&amp;"?text="&amp;SUBSTITUTE("Hola "&amp;B261&amp;", te recuerdo que tu cuota de S/ "&amp;H261&amp;IF(E261&lt;TODAY()," vencio el "," vence el ")&amp;TEXT(E261,"dd/mm")&amp;". Gracias!"," ","%20"),"WhatsApp"))</f>
        <v/>
      </c>
    </row>
    <row r="262">
      <c r="A262" s="14" t="n"/>
      <c r="B262" s="16">
        <f>IF($A262="","",INDEX('Préstamos'!$B$2:$B$101,MATCH($A262,'Préstamos'!$A$2:$A$101,0)))</f>
        <v/>
      </c>
      <c r="C262" s="14" t="n"/>
      <c r="D262" s="14" t="n"/>
      <c r="E262" s="33" t="n"/>
      <c r="F262" s="29">
        <f>IF($A262="","",IF(D262="Solo interés",0,IF(AND(D262&lt;&gt;"Solo interés",C262=INDEX('Préstamos'!$G$2:$G$101,MATCH($A262,'Préstamos'!$A$2:$A$101,0))),INDEX('Préstamos'!$D$2:$D$101,MATCH($A262,'Préstamos'!$A$2:$A$101,0))-INDEX('Préstamos'!$J$2:$J$101,MATCH($A262,'Préstamos'!$A$2:$A$101,0))*(INDEX('Préstamos'!$G$2:$G$101,MATCH($A262,'Préstamos'!$A$2:$A$101,0))-1),INDEX('Préstamos'!$J$2:$J$101,MATCH($A262,'Préstamos'!$A$2:$A$101,0)))))</f>
        <v/>
      </c>
      <c r="G262" s="29">
        <f>IF($A262="","",IF(AND(D262&lt;&gt;"Solo interés",C262=INDEX('Préstamos'!$G$2:$G$101,MATCH($A262,'Préstamos'!$A$2:$A$101,0))),INDEX('Préstamos'!$I$2:$I$101,MATCH($A262,'Préstamos'!$A$2:$A$101,0))-INDEX('Préstamos'!$K$2:$K$101,MATCH($A262,'Préstamos'!$A$2:$A$101,0))*(INDEX('Préstamos'!$G$2:$G$101,MATCH($A262,'Préstamos'!$A$2:$A$101,0))-1),INDEX('Préstamos'!$K$2:$K$101,MATCH($A262,'Préstamos'!$A$2:$A$101,0))))</f>
        <v/>
      </c>
      <c r="H262" s="29">
        <f>IF($A262="","",F262+G262)</f>
        <v/>
      </c>
      <c r="I262" s="14" t="n"/>
      <c r="J262" s="33" t="n"/>
      <c r="K262" s="16">
        <f>IF(OR($A262="",I262="Pagado"),"",MAX(0,TODAY()-E262))</f>
        <v/>
      </c>
      <c r="L262" s="16">
        <f>IF($A262="","",IF(I262="Pagado","Pagado",IF(E262&lt;TODAY(),"Atrasado",IF(E262&lt;=EOMONTH(TODAY(),0),"Este mes","Pendiente"))))</f>
        <v/>
      </c>
      <c r="M262" s="20">
        <f>IF(OR($A262="",I262="Pagado"),"",HYPERLINK("https://wa.me/"&amp;IF(INDEX('Préstamos'!$C$2:$C$101,MATCH($A262,'Préstamos'!$A$2:$A$101,0))="","","51"&amp;SUBSTITUTE(INDEX('Préstamos'!$C$2:$C$101,MATCH($A262,'Préstamos'!$A$2:$A$101,0))," ",""))&amp;"?text="&amp;SUBSTITUTE("Hola "&amp;B262&amp;", te recuerdo que tu cuota de S/ "&amp;H262&amp;IF(E262&lt;TODAY()," vencio el "," vence el ")&amp;TEXT(E262,"dd/mm")&amp;". Gracias!"," ","%20"),"WhatsApp"))</f>
        <v/>
      </c>
    </row>
    <row r="263">
      <c r="A263" s="14" t="n"/>
      <c r="B263" s="16">
        <f>IF($A263="","",INDEX('Préstamos'!$B$2:$B$101,MATCH($A263,'Préstamos'!$A$2:$A$101,0)))</f>
        <v/>
      </c>
      <c r="C263" s="14" t="n"/>
      <c r="D263" s="14" t="n"/>
      <c r="E263" s="33" t="n"/>
      <c r="F263" s="29">
        <f>IF($A263="","",IF(D263="Solo interés",0,IF(AND(D263&lt;&gt;"Solo interés",C263=INDEX('Préstamos'!$G$2:$G$101,MATCH($A263,'Préstamos'!$A$2:$A$101,0))),INDEX('Préstamos'!$D$2:$D$101,MATCH($A263,'Préstamos'!$A$2:$A$101,0))-INDEX('Préstamos'!$J$2:$J$101,MATCH($A263,'Préstamos'!$A$2:$A$101,0))*(INDEX('Préstamos'!$G$2:$G$101,MATCH($A263,'Préstamos'!$A$2:$A$101,0))-1),INDEX('Préstamos'!$J$2:$J$101,MATCH($A263,'Préstamos'!$A$2:$A$101,0)))))</f>
        <v/>
      </c>
      <c r="G263" s="29">
        <f>IF($A263="","",IF(AND(D263&lt;&gt;"Solo interés",C263=INDEX('Préstamos'!$G$2:$G$101,MATCH($A263,'Préstamos'!$A$2:$A$101,0))),INDEX('Préstamos'!$I$2:$I$101,MATCH($A263,'Préstamos'!$A$2:$A$101,0))-INDEX('Préstamos'!$K$2:$K$101,MATCH($A263,'Préstamos'!$A$2:$A$101,0))*(INDEX('Préstamos'!$G$2:$G$101,MATCH($A263,'Préstamos'!$A$2:$A$101,0))-1),INDEX('Préstamos'!$K$2:$K$101,MATCH($A263,'Préstamos'!$A$2:$A$101,0))))</f>
        <v/>
      </c>
      <c r="H263" s="29">
        <f>IF($A263="","",F263+G263)</f>
        <v/>
      </c>
      <c r="I263" s="14" t="n"/>
      <c r="J263" s="33" t="n"/>
      <c r="K263" s="16">
        <f>IF(OR($A263="",I263="Pagado"),"",MAX(0,TODAY()-E263))</f>
        <v/>
      </c>
      <c r="L263" s="16">
        <f>IF($A263="","",IF(I263="Pagado","Pagado",IF(E263&lt;TODAY(),"Atrasado",IF(E263&lt;=EOMONTH(TODAY(),0),"Este mes","Pendiente"))))</f>
        <v/>
      </c>
      <c r="M263" s="20">
        <f>IF(OR($A263="",I263="Pagado"),"",HYPERLINK("https://wa.me/"&amp;IF(INDEX('Préstamos'!$C$2:$C$101,MATCH($A263,'Préstamos'!$A$2:$A$101,0))="","","51"&amp;SUBSTITUTE(INDEX('Préstamos'!$C$2:$C$101,MATCH($A263,'Préstamos'!$A$2:$A$101,0))," ",""))&amp;"?text="&amp;SUBSTITUTE("Hola "&amp;B263&amp;", te recuerdo que tu cuota de S/ "&amp;H263&amp;IF(E263&lt;TODAY()," vencio el "," vence el ")&amp;TEXT(E263,"dd/mm")&amp;". Gracias!"," ","%20"),"WhatsApp"))</f>
        <v/>
      </c>
    </row>
    <row r="264">
      <c r="A264" s="14" t="n"/>
      <c r="B264" s="16">
        <f>IF($A264="","",INDEX('Préstamos'!$B$2:$B$101,MATCH($A264,'Préstamos'!$A$2:$A$101,0)))</f>
        <v/>
      </c>
      <c r="C264" s="14" t="n"/>
      <c r="D264" s="14" t="n"/>
      <c r="E264" s="33" t="n"/>
      <c r="F264" s="29">
        <f>IF($A264="","",IF(D264="Solo interés",0,IF(AND(D264&lt;&gt;"Solo interés",C264=INDEX('Préstamos'!$G$2:$G$101,MATCH($A264,'Préstamos'!$A$2:$A$101,0))),INDEX('Préstamos'!$D$2:$D$101,MATCH($A264,'Préstamos'!$A$2:$A$101,0))-INDEX('Préstamos'!$J$2:$J$101,MATCH($A264,'Préstamos'!$A$2:$A$101,0))*(INDEX('Préstamos'!$G$2:$G$101,MATCH($A264,'Préstamos'!$A$2:$A$101,0))-1),INDEX('Préstamos'!$J$2:$J$101,MATCH($A264,'Préstamos'!$A$2:$A$101,0)))))</f>
        <v/>
      </c>
      <c r="G264" s="29">
        <f>IF($A264="","",IF(AND(D264&lt;&gt;"Solo interés",C264=INDEX('Préstamos'!$G$2:$G$101,MATCH($A264,'Préstamos'!$A$2:$A$101,0))),INDEX('Préstamos'!$I$2:$I$101,MATCH($A264,'Préstamos'!$A$2:$A$101,0))-INDEX('Préstamos'!$K$2:$K$101,MATCH($A264,'Préstamos'!$A$2:$A$101,0))*(INDEX('Préstamos'!$G$2:$G$101,MATCH($A264,'Préstamos'!$A$2:$A$101,0))-1),INDEX('Préstamos'!$K$2:$K$101,MATCH($A264,'Préstamos'!$A$2:$A$101,0))))</f>
        <v/>
      </c>
      <c r="H264" s="29">
        <f>IF($A264="","",F264+G264)</f>
        <v/>
      </c>
      <c r="I264" s="14" t="n"/>
      <c r="J264" s="33" t="n"/>
      <c r="K264" s="16">
        <f>IF(OR($A264="",I264="Pagado"),"",MAX(0,TODAY()-E264))</f>
        <v/>
      </c>
      <c r="L264" s="16">
        <f>IF($A264="","",IF(I264="Pagado","Pagado",IF(E264&lt;TODAY(),"Atrasado",IF(E264&lt;=EOMONTH(TODAY(),0),"Este mes","Pendiente"))))</f>
        <v/>
      </c>
      <c r="M264" s="20">
        <f>IF(OR($A264="",I264="Pagado"),"",HYPERLINK("https://wa.me/"&amp;IF(INDEX('Préstamos'!$C$2:$C$101,MATCH($A264,'Préstamos'!$A$2:$A$101,0))="","","51"&amp;SUBSTITUTE(INDEX('Préstamos'!$C$2:$C$101,MATCH($A264,'Préstamos'!$A$2:$A$101,0))," ",""))&amp;"?text="&amp;SUBSTITUTE("Hola "&amp;B264&amp;", te recuerdo que tu cuota de S/ "&amp;H264&amp;IF(E264&lt;TODAY()," vencio el "," vence el ")&amp;TEXT(E264,"dd/mm")&amp;". Gracias!"," ","%20"),"WhatsApp"))</f>
        <v/>
      </c>
    </row>
    <row r="265">
      <c r="A265" s="14" t="n"/>
      <c r="B265" s="16">
        <f>IF($A265="","",INDEX('Préstamos'!$B$2:$B$101,MATCH($A265,'Préstamos'!$A$2:$A$101,0)))</f>
        <v/>
      </c>
      <c r="C265" s="14" t="n"/>
      <c r="D265" s="14" t="n"/>
      <c r="E265" s="33" t="n"/>
      <c r="F265" s="29">
        <f>IF($A265="","",IF(D265="Solo interés",0,IF(AND(D265&lt;&gt;"Solo interés",C265=INDEX('Préstamos'!$G$2:$G$101,MATCH($A265,'Préstamos'!$A$2:$A$101,0))),INDEX('Préstamos'!$D$2:$D$101,MATCH($A265,'Préstamos'!$A$2:$A$101,0))-INDEX('Préstamos'!$J$2:$J$101,MATCH($A265,'Préstamos'!$A$2:$A$101,0))*(INDEX('Préstamos'!$G$2:$G$101,MATCH($A265,'Préstamos'!$A$2:$A$101,0))-1),INDEX('Préstamos'!$J$2:$J$101,MATCH($A265,'Préstamos'!$A$2:$A$101,0)))))</f>
        <v/>
      </c>
      <c r="G265" s="29">
        <f>IF($A265="","",IF(AND(D265&lt;&gt;"Solo interés",C265=INDEX('Préstamos'!$G$2:$G$101,MATCH($A265,'Préstamos'!$A$2:$A$101,0))),INDEX('Préstamos'!$I$2:$I$101,MATCH($A265,'Préstamos'!$A$2:$A$101,0))-INDEX('Préstamos'!$K$2:$K$101,MATCH($A265,'Préstamos'!$A$2:$A$101,0))*(INDEX('Préstamos'!$G$2:$G$101,MATCH($A265,'Préstamos'!$A$2:$A$101,0))-1),INDEX('Préstamos'!$K$2:$K$101,MATCH($A265,'Préstamos'!$A$2:$A$101,0))))</f>
        <v/>
      </c>
      <c r="H265" s="29">
        <f>IF($A265="","",F265+G265)</f>
        <v/>
      </c>
      <c r="I265" s="14" t="n"/>
      <c r="J265" s="33" t="n"/>
      <c r="K265" s="16">
        <f>IF(OR($A265="",I265="Pagado"),"",MAX(0,TODAY()-E265))</f>
        <v/>
      </c>
      <c r="L265" s="16">
        <f>IF($A265="","",IF(I265="Pagado","Pagado",IF(E265&lt;TODAY(),"Atrasado",IF(E265&lt;=EOMONTH(TODAY(),0),"Este mes","Pendiente"))))</f>
        <v/>
      </c>
      <c r="M265" s="20">
        <f>IF(OR($A265="",I265="Pagado"),"",HYPERLINK("https://wa.me/"&amp;IF(INDEX('Préstamos'!$C$2:$C$101,MATCH($A265,'Préstamos'!$A$2:$A$101,0))="","","51"&amp;SUBSTITUTE(INDEX('Préstamos'!$C$2:$C$101,MATCH($A265,'Préstamos'!$A$2:$A$101,0))," ",""))&amp;"?text="&amp;SUBSTITUTE("Hola "&amp;B265&amp;", te recuerdo que tu cuota de S/ "&amp;H265&amp;IF(E265&lt;TODAY()," vencio el "," vence el ")&amp;TEXT(E265,"dd/mm")&amp;". Gracias!"," ","%20"),"WhatsApp"))</f>
        <v/>
      </c>
    </row>
    <row r="266">
      <c r="A266" s="14" t="n"/>
      <c r="B266" s="16">
        <f>IF($A266="","",INDEX('Préstamos'!$B$2:$B$101,MATCH($A266,'Préstamos'!$A$2:$A$101,0)))</f>
        <v/>
      </c>
      <c r="C266" s="14" t="n"/>
      <c r="D266" s="14" t="n"/>
      <c r="E266" s="33" t="n"/>
      <c r="F266" s="29">
        <f>IF($A266="","",IF(D266="Solo interés",0,IF(AND(D266&lt;&gt;"Solo interés",C266=INDEX('Préstamos'!$G$2:$G$101,MATCH($A266,'Préstamos'!$A$2:$A$101,0))),INDEX('Préstamos'!$D$2:$D$101,MATCH($A266,'Préstamos'!$A$2:$A$101,0))-INDEX('Préstamos'!$J$2:$J$101,MATCH($A266,'Préstamos'!$A$2:$A$101,0))*(INDEX('Préstamos'!$G$2:$G$101,MATCH($A266,'Préstamos'!$A$2:$A$101,0))-1),INDEX('Préstamos'!$J$2:$J$101,MATCH($A266,'Préstamos'!$A$2:$A$101,0)))))</f>
        <v/>
      </c>
      <c r="G266" s="29">
        <f>IF($A266="","",IF(AND(D266&lt;&gt;"Solo interés",C266=INDEX('Préstamos'!$G$2:$G$101,MATCH($A266,'Préstamos'!$A$2:$A$101,0))),INDEX('Préstamos'!$I$2:$I$101,MATCH($A266,'Préstamos'!$A$2:$A$101,0))-INDEX('Préstamos'!$K$2:$K$101,MATCH($A266,'Préstamos'!$A$2:$A$101,0))*(INDEX('Préstamos'!$G$2:$G$101,MATCH($A266,'Préstamos'!$A$2:$A$101,0))-1),INDEX('Préstamos'!$K$2:$K$101,MATCH($A266,'Préstamos'!$A$2:$A$101,0))))</f>
        <v/>
      </c>
      <c r="H266" s="29">
        <f>IF($A266="","",F266+G266)</f>
        <v/>
      </c>
      <c r="I266" s="14" t="n"/>
      <c r="J266" s="33" t="n"/>
      <c r="K266" s="16">
        <f>IF(OR($A266="",I266="Pagado"),"",MAX(0,TODAY()-E266))</f>
        <v/>
      </c>
      <c r="L266" s="16">
        <f>IF($A266="","",IF(I266="Pagado","Pagado",IF(E266&lt;TODAY(),"Atrasado",IF(E266&lt;=EOMONTH(TODAY(),0),"Este mes","Pendiente"))))</f>
        <v/>
      </c>
      <c r="M266" s="20">
        <f>IF(OR($A266="",I266="Pagado"),"",HYPERLINK("https://wa.me/"&amp;IF(INDEX('Préstamos'!$C$2:$C$101,MATCH($A266,'Préstamos'!$A$2:$A$101,0))="","","51"&amp;SUBSTITUTE(INDEX('Préstamos'!$C$2:$C$101,MATCH($A266,'Préstamos'!$A$2:$A$101,0))," ",""))&amp;"?text="&amp;SUBSTITUTE("Hola "&amp;B266&amp;", te recuerdo que tu cuota de S/ "&amp;H266&amp;IF(E266&lt;TODAY()," vencio el "," vence el ")&amp;TEXT(E266,"dd/mm")&amp;". Gracias!"," ","%20"),"WhatsApp"))</f>
        <v/>
      </c>
    </row>
    <row r="267">
      <c r="A267" s="14" t="n"/>
      <c r="B267" s="16">
        <f>IF($A267="","",INDEX('Préstamos'!$B$2:$B$101,MATCH($A267,'Préstamos'!$A$2:$A$101,0)))</f>
        <v/>
      </c>
      <c r="C267" s="14" t="n"/>
      <c r="D267" s="14" t="n"/>
      <c r="E267" s="33" t="n"/>
      <c r="F267" s="29">
        <f>IF($A267="","",IF(D267="Solo interés",0,IF(AND(D267&lt;&gt;"Solo interés",C267=INDEX('Préstamos'!$G$2:$G$101,MATCH($A267,'Préstamos'!$A$2:$A$101,0))),INDEX('Préstamos'!$D$2:$D$101,MATCH($A267,'Préstamos'!$A$2:$A$101,0))-INDEX('Préstamos'!$J$2:$J$101,MATCH($A267,'Préstamos'!$A$2:$A$101,0))*(INDEX('Préstamos'!$G$2:$G$101,MATCH($A267,'Préstamos'!$A$2:$A$101,0))-1),INDEX('Préstamos'!$J$2:$J$101,MATCH($A267,'Préstamos'!$A$2:$A$101,0)))))</f>
        <v/>
      </c>
      <c r="G267" s="29">
        <f>IF($A267="","",IF(AND(D267&lt;&gt;"Solo interés",C267=INDEX('Préstamos'!$G$2:$G$101,MATCH($A267,'Préstamos'!$A$2:$A$101,0))),INDEX('Préstamos'!$I$2:$I$101,MATCH($A267,'Préstamos'!$A$2:$A$101,0))-INDEX('Préstamos'!$K$2:$K$101,MATCH($A267,'Préstamos'!$A$2:$A$101,0))*(INDEX('Préstamos'!$G$2:$G$101,MATCH($A267,'Préstamos'!$A$2:$A$101,0))-1),INDEX('Préstamos'!$K$2:$K$101,MATCH($A267,'Préstamos'!$A$2:$A$101,0))))</f>
        <v/>
      </c>
      <c r="H267" s="29">
        <f>IF($A267="","",F267+G267)</f>
        <v/>
      </c>
      <c r="I267" s="14" t="n"/>
      <c r="J267" s="33" t="n"/>
      <c r="K267" s="16">
        <f>IF(OR($A267="",I267="Pagado"),"",MAX(0,TODAY()-E267))</f>
        <v/>
      </c>
      <c r="L267" s="16">
        <f>IF($A267="","",IF(I267="Pagado","Pagado",IF(E267&lt;TODAY(),"Atrasado",IF(E267&lt;=EOMONTH(TODAY(),0),"Este mes","Pendiente"))))</f>
        <v/>
      </c>
      <c r="M267" s="20">
        <f>IF(OR($A267="",I267="Pagado"),"",HYPERLINK("https://wa.me/"&amp;IF(INDEX('Préstamos'!$C$2:$C$101,MATCH($A267,'Préstamos'!$A$2:$A$101,0))="","","51"&amp;SUBSTITUTE(INDEX('Préstamos'!$C$2:$C$101,MATCH($A267,'Préstamos'!$A$2:$A$101,0))," ",""))&amp;"?text="&amp;SUBSTITUTE("Hola "&amp;B267&amp;", te recuerdo que tu cuota de S/ "&amp;H267&amp;IF(E267&lt;TODAY()," vencio el "," vence el ")&amp;TEXT(E267,"dd/mm")&amp;". Gracias!"," ","%20"),"WhatsApp"))</f>
        <v/>
      </c>
    </row>
    <row r="268">
      <c r="A268" s="14" t="n"/>
      <c r="B268" s="16">
        <f>IF($A268="","",INDEX('Préstamos'!$B$2:$B$101,MATCH($A268,'Préstamos'!$A$2:$A$101,0)))</f>
        <v/>
      </c>
      <c r="C268" s="14" t="n"/>
      <c r="D268" s="14" t="n"/>
      <c r="E268" s="33" t="n"/>
      <c r="F268" s="29">
        <f>IF($A268="","",IF(D268="Solo interés",0,IF(AND(D268&lt;&gt;"Solo interés",C268=INDEX('Préstamos'!$G$2:$G$101,MATCH($A268,'Préstamos'!$A$2:$A$101,0))),INDEX('Préstamos'!$D$2:$D$101,MATCH($A268,'Préstamos'!$A$2:$A$101,0))-INDEX('Préstamos'!$J$2:$J$101,MATCH($A268,'Préstamos'!$A$2:$A$101,0))*(INDEX('Préstamos'!$G$2:$G$101,MATCH($A268,'Préstamos'!$A$2:$A$101,0))-1),INDEX('Préstamos'!$J$2:$J$101,MATCH($A268,'Préstamos'!$A$2:$A$101,0)))))</f>
        <v/>
      </c>
      <c r="G268" s="29">
        <f>IF($A268="","",IF(AND(D268&lt;&gt;"Solo interés",C268=INDEX('Préstamos'!$G$2:$G$101,MATCH($A268,'Préstamos'!$A$2:$A$101,0))),INDEX('Préstamos'!$I$2:$I$101,MATCH($A268,'Préstamos'!$A$2:$A$101,0))-INDEX('Préstamos'!$K$2:$K$101,MATCH($A268,'Préstamos'!$A$2:$A$101,0))*(INDEX('Préstamos'!$G$2:$G$101,MATCH($A268,'Préstamos'!$A$2:$A$101,0))-1),INDEX('Préstamos'!$K$2:$K$101,MATCH($A268,'Préstamos'!$A$2:$A$101,0))))</f>
        <v/>
      </c>
      <c r="H268" s="29">
        <f>IF($A268="","",F268+G268)</f>
        <v/>
      </c>
      <c r="I268" s="14" t="n"/>
      <c r="J268" s="33" t="n"/>
      <c r="K268" s="16">
        <f>IF(OR($A268="",I268="Pagado"),"",MAX(0,TODAY()-E268))</f>
        <v/>
      </c>
      <c r="L268" s="16">
        <f>IF($A268="","",IF(I268="Pagado","Pagado",IF(E268&lt;TODAY(),"Atrasado",IF(E268&lt;=EOMONTH(TODAY(),0),"Este mes","Pendiente"))))</f>
        <v/>
      </c>
      <c r="M268" s="20">
        <f>IF(OR($A268="",I268="Pagado"),"",HYPERLINK("https://wa.me/"&amp;IF(INDEX('Préstamos'!$C$2:$C$101,MATCH($A268,'Préstamos'!$A$2:$A$101,0))="","","51"&amp;SUBSTITUTE(INDEX('Préstamos'!$C$2:$C$101,MATCH($A268,'Préstamos'!$A$2:$A$101,0))," ",""))&amp;"?text="&amp;SUBSTITUTE("Hola "&amp;B268&amp;", te recuerdo que tu cuota de S/ "&amp;H268&amp;IF(E268&lt;TODAY()," vencio el "," vence el ")&amp;TEXT(E268,"dd/mm")&amp;". Gracias!"," ","%20"),"WhatsApp"))</f>
        <v/>
      </c>
    </row>
    <row r="269">
      <c r="A269" s="14" t="n"/>
      <c r="B269" s="16">
        <f>IF($A269="","",INDEX('Préstamos'!$B$2:$B$101,MATCH($A269,'Préstamos'!$A$2:$A$101,0)))</f>
        <v/>
      </c>
      <c r="C269" s="14" t="n"/>
      <c r="D269" s="14" t="n"/>
      <c r="E269" s="33" t="n"/>
      <c r="F269" s="29">
        <f>IF($A269="","",IF(D269="Solo interés",0,IF(AND(D269&lt;&gt;"Solo interés",C269=INDEX('Préstamos'!$G$2:$G$101,MATCH($A269,'Préstamos'!$A$2:$A$101,0))),INDEX('Préstamos'!$D$2:$D$101,MATCH($A269,'Préstamos'!$A$2:$A$101,0))-INDEX('Préstamos'!$J$2:$J$101,MATCH($A269,'Préstamos'!$A$2:$A$101,0))*(INDEX('Préstamos'!$G$2:$G$101,MATCH($A269,'Préstamos'!$A$2:$A$101,0))-1),INDEX('Préstamos'!$J$2:$J$101,MATCH($A269,'Préstamos'!$A$2:$A$101,0)))))</f>
        <v/>
      </c>
      <c r="G269" s="29">
        <f>IF($A269="","",IF(AND(D269&lt;&gt;"Solo interés",C269=INDEX('Préstamos'!$G$2:$G$101,MATCH($A269,'Préstamos'!$A$2:$A$101,0))),INDEX('Préstamos'!$I$2:$I$101,MATCH($A269,'Préstamos'!$A$2:$A$101,0))-INDEX('Préstamos'!$K$2:$K$101,MATCH($A269,'Préstamos'!$A$2:$A$101,0))*(INDEX('Préstamos'!$G$2:$G$101,MATCH($A269,'Préstamos'!$A$2:$A$101,0))-1),INDEX('Préstamos'!$K$2:$K$101,MATCH($A269,'Préstamos'!$A$2:$A$101,0))))</f>
        <v/>
      </c>
      <c r="H269" s="29">
        <f>IF($A269="","",F269+G269)</f>
        <v/>
      </c>
      <c r="I269" s="14" t="n"/>
      <c r="J269" s="33" t="n"/>
      <c r="K269" s="16">
        <f>IF(OR($A269="",I269="Pagado"),"",MAX(0,TODAY()-E269))</f>
        <v/>
      </c>
      <c r="L269" s="16">
        <f>IF($A269="","",IF(I269="Pagado","Pagado",IF(E269&lt;TODAY(),"Atrasado",IF(E269&lt;=EOMONTH(TODAY(),0),"Este mes","Pendiente"))))</f>
        <v/>
      </c>
      <c r="M269" s="20">
        <f>IF(OR($A269="",I269="Pagado"),"",HYPERLINK("https://wa.me/"&amp;IF(INDEX('Préstamos'!$C$2:$C$101,MATCH($A269,'Préstamos'!$A$2:$A$101,0))="","","51"&amp;SUBSTITUTE(INDEX('Préstamos'!$C$2:$C$101,MATCH($A269,'Préstamos'!$A$2:$A$101,0))," ",""))&amp;"?text="&amp;SUBSTITUTE("Hola "&amp;B269&amp;", te recuerdo que tu cuota de S/ "&amp;H269&amp;IF(E269&lt;TODAY()," vencio el "," vence el ")&amp;TEXT(E269,"dd/mm")&amp;". Gracias!"," ","%20"),"WhatsApp"))</f>
        <v/>
      </c>
    </row>
    <row r="270">
      <c r="A270" s="14" t="n"/>
      <c r="B270" s="16">
        <f>IF($A270="","",INDEX('Préstamos'!$B$2:$B$101,MATCH($A270,'Préstamos'!$A$2:$A$101,0)))</f>
        <v/>
      </c>
      <c r="C270" s="14" t="n"/>
      <c r="D270" s="14" t="n"/>
      <c r="E270" s="33" t="n"/>
      <c r="F270" s="29">
        <f>IF($A270="","",IF(D270="Solo interés",0,IF(AND(D270&lt;&gt;"Solo interés",C270=INDEX('Préstamos'!$G$2:$G$101,MATCH($A270,'Préstamos'!$A$2:$A$101,0))),INDEX('Préstamos'!$D$2:$D$101,MATCH($A270,'Préstamos'!$A$2:$A$101,0))-INDEX('Préstamos'!$J$2:$J$101,MATCH($A270,'Préstamos'!$A$2:$A$101,0))*(INDEX('Préstamos'!$G$2:$G$101,MATCH($A270,'Préstamos'!$A$2:$A$101,0))-1),INDEX('Préstamos'!$J$2:$J$101,MATCH($A270,'Préstamos'!$A$2:$A$101,0)))))</f>
        <v/>
      </c>
      <c r="G270" s="29">
        <f>IF($A270="","",IF(AND(D270&lt;&gt;"Solo interés",C270=INDEX('Préstamos'!$G$2:$G$101,MATCH($A270,'Préstamos'!$A$2:$A$101,0))),INDEX('Préstamos'!$I$2:$I$101,MATCH($A270,'Préstamos'!$A$2:$A$101,0))-INDEX('Préstamos'!$K$2:$K$101,MATCH($A270,'Préstamos'!$A$2:$A$101,0))*(INDEX('Préstamos'!$G$2:$G$101,MATCH($A270,'Préstamos'!$A$2:$A$101,0))-1),INDEX('Préstamos'!$K$2:$K$101,MATCH($A270,'Préstamos'!$A$2:$A$101,0))))</f>
        <v/>
      </c>
      <c r="H270" s="29">
        <f>IF($A270="","",F270+G270)</f>
        <v/>
      </c>
      <c r="I270" s="14" t="n"/>
      <c r="J270" s="33" t="n"/>
      <c r="K270" s="16">
        <f>IF(OR($A270="",I270="Pagado"),"",MAX(0,TODAY()-E270))</f>
        <v/>
      </c>
      <c r="L270" s="16">
        <f>IF($A270="","",IF(I270="Pagado","Pagado",IF(E270&lt;TODAY(),"Atrasado",IF(E270&lt;=EOMONTH(TODAY(),0),"Este mes","Pendiente"))))</f>
        <v/>
      </c>
      <c r="M270" s="20">
        <f>IF(OR($A270="",I270="Pagado"),"",HYPERLINK("https://wa.me/"&amp;IF(INDEX('Préstamos'!$C$2:$C$101,MATCH($A270,'Préstamos'!$A$2:$A$101,0))="","","51"&amp;SUBSTITUTE(INDEX('Préstamos'!$C$2:$C$101,MATCH($A270,'Préstamos'!$A$2:$A$101,0))," ",""))&amp;"?text="&amp;SUBSTITUTE("Hola "&amp;B270&amp;", te recuerdo que tu cuota de S/ "&amp;H270&amp;IF(E270&lt;TODAY()," vencio el "," vence el ")&amp;TEXT(E270,"dd/mm")&amp;". Gracias!"," ","%20"),"WhatsApp"))</f>
        <v/>
      </c>
    </row>
    <row r="271">
      <c r="A271" s="14" t="n"/>
      <c r="B271" s="16">
        <f>IF($A271="","",INDEX('Préstamos'!$B$2:$B$101,MATCH($A271,'Préstamos'!$A$2:$A$101,0)))</f>
        <v/>
      </c>
      <c r="C271" s="14" t="n"/>
      <c r="D271" s="14" t="n"/>
      <c r="E271" s="33" t="n"/>
      <c r="F271" s="29">
        <f>IF($A271="","",IF(D271="Solo interés",0,IF(AND(D271&lt;&gt;"Solo interés",C271=INDEX('Préstamos'!$G$2:$G$101,MATCH($A271,'Préstamos'!$A$2:$A$101,0))),INDEX('Préstamos'!$D$2:$D$101,MATCH($A271,'Préstamos'!$A$2:$A$101,0))-INDEX('Préstamos'!$J$2:$J$101,MATCH($A271,'Préstamos'!$A$2:$A$101,0))*(INDEX('Préstamos'!$G$2:$G$101,MATCH($A271,'Préstamos'!$A$2:$A$101,0))-1),INDEX('Préstamos'!$J$2:$J$101,MATCH($A271,'Préstamos'!$A$2:$A$101,0)))))</f>
        <v/>
      </c>
      <c r="G271" s="29">
        <f>IF($A271="","",IF(AND(D271&lt;&gt;"Solo interés",C271=INDEX('Préstamos'!$G$2:$G$101,MATCH($A271,'Préstamos'!$A$2:$A$101,0))),INDEX('Préstamos'!$I$2:$I$101,MATCH($A271,'Préstamos'!$A$2:$A$101,0))-INDEX('Préstamos'!$K$2:$K$101,MATCH($A271,'Préstamos'!$A$2:$A$101,0))*(INDEX('Préstamos'!$G$2:$G$101,MATCH($A271,'Préstamos'!$A$2:$A$101,0))-1),INDEX('Préstamos'!$K$2:$K$101,MATCH($A271,'Préstamos'!$A$2:$A$101,0))))</f>
        <v/>
      </c>
      <c r="H271" s="29">
        <f>IF($A271="","",F271+G271)</f>
        <v/>
      </c>
      <c r="I271" s="14" t="n"/>
      <c r="J271" s="33" t="n"/>
      <c r="K271" s="16">
        <f>IF(OR($A271="",I271="Pagado"),"",MAX(0,TODAY()-E271))</f>
        <v/>
      </c>
      <c r="L271" s="16">
        <f>IF($A271="","",IF(I271="Pagado","Pagado",IF(E271&lt;TODAY(),"Atrasado",IF(E271&lt;=EOMONTH(TODAY(),0),"Este mes","Pendiente"))))</f>
        <v/>
      </c>
      <c r="M271" s="20">
        <f>IF(OR($A271="",I271="Pagado"),"",HYPERLINK("https://wa.me/"&amp;IF(INDEX('Préstamos'!$C$2:$C$101,MATCH($A271,'Préstamos'!$A$2:$A$101,0))="","","51"&amp;SUBSTITUTE(INDEX('Préstamos'!$C$2:$C$101,MATCH($A271,'Préstamos'!$A$2:$A$101,0))," ",""))&amp;"?text="&amp;SUBSTITUTE("Hola "&amp;B271&amp;", te recuerdo que tu cuota de S/ "&amp;H271&amp;IF(E271&lt;TODAY()," vencio el "," vence el ")&amp;TEXT(E271,"dd/mm")&amp;". Gracias!"," ","%20"),"WhatsApp"))</f>
        <v/>
      </c>
    </row>
    <row r="272">
      <c r="A272" s="14" t="n"/>
      <c r="B272" s="16">
        <f>IF($A272="","",INDEX('Préstamos'!$B$2:$B$101,MATCH($A272,'Préstamos'!$A$2:$A$101,0)))</f>
        <v/>
      </c>
      <c r="C272" s="14" t="n"/>
      <c r="D272" s="14" t="n"/>
      <c r="E272" s="33" t="n"/>
      <c r="F272" s="29">
        <f>IF($A272="","",IF(D272="Solo interés",0,IF(AND(D272&lt;&gt;"Solo interés",C272=INDEX('Préstamos'!$G$2:$G$101,MATCH($A272,'Préstamos'!$A$2:$A$101,0))),INDEX('Préstamos'!$D$2:$D$101,MATCH($A272,'Préstamos'!$A$2:$A$101,0))-INDEX('Préstamos'!$J$2:$J$101,MATCH($A272,'Préstamos'!$A$2:$A$101,0))*(INDEX('Préstamos'!$G$2:$G$101,MATCH($A272,'Préstamos'!$A$2:$A$101,0))-1),INDEX('Préstamos'!$J$2:$J$101,MATCH($A272,'Préstamos'!$A$2:$A$101,0)))))</f>
        <v/>
      </c>
      <c r="G272" s="29">
        <f>IF($A272="","",IF(AND(D272&lt;&gt;"Solo interés",C272=INDEX('Préstamos'!$G$2:$G$101,MATCH($A272,'Préstamos'!$A$2:$A$101,0))),INDEX('Préstamos'!$I$2:$I$101,MATCH($A272,'Préstamos'!$A$2:$A$101,0))-INDEX('Préstamos'!$K$2:$K$101,MATCH($A272,'Préstamos'!$A$2:$A$101,0))*(INDEX('Préstamos'!$G$2:$G$101,MATCH($A272,'Préstamos'!$A$2:$A$101,0))-1),INDEX('Préstamos'!$K$2:$K$101,MATCH($A272,'Préstamos'!$A$2:$A$101,0))))</f>
        <v/>
      </c>
      <c r="H272" s="29">
        <f>IF($A272="","",F272+G272)</f>
        <v/>
      </c>
      <c r="I272" s="14" t="n"/>
      <c r="J272" s="33" t="n"/>
      <c r="K272" s="16">
        <f>IF(OR($A272="",I272="Pagado"),"",MAX(0,TODAY()-E272))</f>
        <v/>
      </c>
      <c r="L272" s="16">
        <f>IF($A272="","",IF(I272="Pagado","Pagado",IF(E272&lt;TODAY(),"Atrasado",IF(E272&lt;=EOMONTH(TODAY(),0),"Este mes","Pendiente"))))</f>
        <v/>
      </c>
      <c r="M272" s="20">
        <f>IF(OR($A272="",I272="Pagado"),"",HYPERLINK("https://wa.me/"&amp;IF(INDEX('Préstamos'!$C$2:$C$101,MATCH($A272,'Préstamos'!$A$2:$A$101,0))="","","51"&amp;SUBSTITUTE(INDEX('Préstamos'!$C$2:$C$101,MATCH($A272,'Préstamos'!$A$2:$A$101,0))," ",""))&amp;"?text="&amp;SUBSTITUTE("Hola "&amp;B272&amp;", te recuerdo que tu cuota de S/ "&amp;H272&amp;IF(E272&lt;TODAY()," vencio el "," vence el ")&amp;TEXT(E272,"dd/mm")&amp;". Gracias!"," ","%20"),"WhatsApp"))</f>
        <v/>
      </c>
    </row>
    <row r="273">
      <c r="A273" s="14" t="n"/>
      <c r="B273" s="16">
        <f>IF($A273="","",INDEX('Préstamos'!$B$2:$B$101,MATCH($A273,'Préstamos'!$A$2:$A$101,0)))</f>
        <v/>
      </c>
      <c r="C273" s="14" t="n"/>
      <c r="D273" s="14" t="n"/>
      <c r="E273" s="33" t="n"/>
      <c r="F273" s="29">
        <f>IF($A273="","",IF(D273="Solo interés",0,IF(AND(D273&lt;&gt;"Solo interés",C273=INDEX('Préstamos'!$G$2:$G$101,MATCH($A273,'Préstamos'!$A$2:$A$101,0))),INDEX('Préstamos'!$D$2:$D$101,MATCH($A273,'Préstamos'!$A$2:$A$101,0))-INDEX('Préstamos'!$J$2:$J$101,MATCH($A273,'Préstamos'!$A$2:$A$101,0))*(INDEX('Préstamos'!$G$2:$G$101,MATCH($A273,'Préstamos'!$A$2:$A$101,0))-1),INDEX('Préstamos'!$J$2:$J$101,MATCH($A273,'Préstamos'!$A$2:$A$101,0)))))</f>
        <v/>
      </c>
      <c r="G273" s="29">
        <f>IF($A273="","",IF(AND(D273&lt;&gt;"Solo interés",C273=INDEX('Préstamos'!$G$2:$G$101,MATCH($A273,'Préstamos'!$A$2:$A$101,0))),INDEX('Préstamos'!$I$2:$I$101,MATCH($A273,'Préstamos'!$A$2:$A$101,0))-INDEX('Préstamos'!$K$2:$K$101,MATCH($A273,'Préstamos'!$A$2:$A$101,0))*(INDEX('Préstamos'!$G$2:$G$101,MATCH($A273,'Préstamos'!$A$2:$A$101,0))-1),INDEX('Préstamos'!$K$2:$K$101,MATCH($A273,'Préstamos'!$A$2:$A$101,0))))</f>
        <v/>
      </c>
      <c r="H273" s="29">
        <f>IF($A273="","",F273+G273)</f>
        <v/>
      </c>
      <c r="I273" s="14" t="n"/>
      <c r="J273" s="33" t="n"/>
      <c r="K273" s="16">
        <f>IF(OR($A273="",I273="Pagado"),"",MAX(0,TODAY()-E273))</f>
        <v/>
      </c>
      <c r="L273" s="16">
        <f>IF($A273="","",IF(I273="Pagado","Pagado",IF(E273&lt;TODAY(),"Atrasado",IF(E273&lt;=EOMONTH(TODAY(),0),"Este mes","Pendiente"))))</f>
        <v/>
      </c>
      <c r="M273" s="20">
        <f>IF(OR($A273="",I273="Pagado"),"",HYPERLINK("https://wa.me/"&amp;IF(INDEX('Préstamos'!$C$2:$C$101,MATCH($A273,'Préstamos'!$A$2:$A$101,0))="","","51"&amp;SUBSTITUTE(INDEX('Préstamos'!$C$2:$C$101,MATCH($A273,'Préstamos'!$A$2:$A$101,0))," ",""))&amp;"?text="&amp;SUBSTITUTE("Hola "&amp;B273&amp;", te recuerdo que tu cuota de S/ "&amp;H273&amp;IF(E273&lt;TODAY()," vencio el "," vence el ")&amp;TEXT(E273,"dd/mm")&amp;". Gracias!"," ","%20"),"WhatsApp"))</f>
        <v/>
      </c>
    </row>
    <row r="274">
      <c r="A274" s="14" t="n"/>
      <c r="B274" s="16">
        <f>IF($A274="","",INDEX('Préstamos'!$B$2:$B$101,MATCH($A274,'Préstamos'!$A$2:$A$101,0)))</f>
        <v/>
      </c>
      <c r="C274" s="14" t="n"/>
      <c r="D274" s="14" t="n"/>
      <c r="E274" s="33" t="n"/>
      <c r="F274" s="29">
        <f>IF($A274="","",IF(D274="Solo interés",0,IF(AND(D274&lt;&gt;"Solo interés",C274=INDEX('Préstamos'!$G$2:$G$101,MATCH($A274,'Préstamos'!$A$2:$A$101,0))),INDEX('Préstamos'!$D$2:$D$101,MATCH($A274,'Préstamos'!$A$2:$A$101,0))-INDEX('Préstamos'!$J$2:$J$101,MATCH($A274,'Préstamos'!$A$2:$A$101,0))*(INDEX('Préstamos'!$G$2:$G$101,MATCH($A274,'Préstamos'!$A$2:$A$101,0))-1),INDEX('Préstamos'!$J$2:$J$101,MATCH($A274,'Préstamos'!$A$2:$A$101,0)))))</f>
        <v/>
      </c>
      <c r="G274" s="29">
        <f>IF($A274="","",IF(AND(D274&lt;&gt;"Solo interés",C274=INDEX('Préstamos'!$G$2:$G$101,MATCH($A274,'Préstamos'!$A$2:$A$101,0))),INDEX('Préstamos'!$I$2:$I$101,MATCH($A274,'Préstamos'!$A$2:$A$101,0))-INDEX('Préstamos'!$K$2:$K$101,MATCH($A274,'Préstamos'!$A$2:$A$101,0))*(INDEX('Préstamos'!$G$2:$G$101,MATCH($A274,'Préstamos'!$A$2:$A$101,0))-1),INDEX('Préstamos'!$K$2:$K$101,MATCH($A274,'Préstamos'!$A$2:$A$101,0))))</f>
        <v/>
      </c>
      <c r="H274" s="29">
        <f>IF($A274="","",F274+G274)</f>
        <v/>
      </c>
      <c r="I274" s="14" t="n"/>
      <c r="J274" s="33" t="n"/>
      <c r="K274" s="16">
        <f>IF(OR($A274="",I274="Pagado"),"",MAX(0,TODAY()-E274))</f>
        <v/>
      </c>
      <c r="L274" s="16">
        <f>IF($A274="","",IF(I274="Pagado","Pagado",IF(E274&lt;TODAY(),"Atrasado",IF(E274&lt;=EOMONTH(TODAY(),0),"Este mes","Pendiente"))))</f>
        <v/>
      </c>
      <c r="M274" s="20">
        <f>IF(OR($A274="",I274="Pagado"),"",HYPERLINK("https://wa.me/"&amp;IF(INDEX('Préstamos'!$C$2:$C$101,MATCH($A274,'Préstamos'!$A$2:$A$101,0))="","","51"&amp;SUBSTITUTE(INDEX('Préstamos'!$C$2:$C$101,MATCH($A274,'Préstamos'!$A$2:$A$101,0))," ",""))&amp;"?text="&amp;SUBSTITUTE("Hola "&amp;B274&amp;", te recuerdo que tu cuota de S/ "&amp;H274&amp;IF(E274&lt;TODAY()," vencio el "," vence el ")&amp;TEXT(E274,"dd/mm")&amp;". Gracias!"," ","%20"),"WhatsApp"))</f>
        <v/>
      </c>
    </row>
    <row r="275">
      <c r="A275" s="14" t="n"/>
      <c r="B275" s="16">
        <f>IF($A275="","",INDEX('Préstamos'!$B$2:$B$101,MATCH($A275,'Préstamos'!$A$2:$A$101,0)))</f>
        <v/>
      </c>
      <c r="C275" s="14" t="n"/>
      <c r="D275" s="14" t="n"/>
      <c r="E275" s="33" t="n"/>
      <c r="F275" s="29">
        <f>IF($A275="","",IF(D275="Solo interés",0,IF(AND(D275&lt;&gt;"Solo interés",C275=INDEX('Préstamos'!$G$2:$G$101,MATCH($A275,'Préstamos'!$A$2:$A$101,0))),INDEX('Préstamos'!$D$2:$D$101,MATCH($A275,'Préstamos'!$A$2:$A$101,0))-INDEX('Préstamos'!$J$2:$J$101,MATCH($A275,'Préstamos'!$A$2:$A$101,0))*(INDEX('Préstamos'!$G$2:$G$101,MATCH($A275,'Préstamos'!$A$2:$A$101,0))-1),INDEX('Préstamos'!$J$2:$J$101,MATCH($A275,'Préstamos'!$A$2:$A$101,0)))))</f>
        <v/>
      </c>
      <c r="G275" s="29">
        <f>IF($A275="","",IF(AND(D275&lt;&gt;"Solo interés",C275=INDEX('Préstamos'!$G$2:$G$101,MATCH($A275,'Préstamos'!$A$2:$A$101,0))),INDEX('Préstamos'!$I$2:$I$101,MATCH($A275,'Préstamos'!$A$2:$A$101,0))-INDEX('Préstamos'!$K$2:$K$101,MATCH($A275,'Préstamos'!$A$2:$A$101,0))*(INDEX('Préstamos'!$G$2:$G$101,MATCH($A275,'Préstamos'!$A$2:$A$101,0))-1),INDEX('Préstamos'!$K$2:$K$101,MATCH($A275,'Préstamos'!$A$2:$A$101,0))))</f>
        <v/>
      </c>
      <c r="H275" s="29">
        <f>IF($A275="","",F275+G275)</f>
        <v/>
      </c>
      <c r="I275" s="14" t="n"/>
      <c r="J275" s="33" t="n"/>
      <c r="K275" s="16">
        <f>IF(OR($A275="",I275="Pagado"),"",MAX(0,TODAY()-E275))</f>
        <v/>
      </c>
      <c r="L275" s="16">
        <f>IF($A275="","",IF(I275="Pagado","Pagado",IF(E275&lt;TODAY(),"Atrasado",IF(E275&lt;=EOMONTH(TODAY(),0),"Este mes","Pendiente"))))</f>
        <v/>
      </c>
      <c r="M275" s="20">
        <f>IF(OR($A275="",I275="Pagado"),"",HYPERLINK("https://wa.me/"&amp;IF(INDEX('Préstamos'!$C$2:$C$101,MATCH($A275,'Préstamos'!$A$2:$A$101,0))="","","51"&amp;SUBSTITUTE(INDEX('Préstamos'!$C$2:$C$101,MATCH($A275,'Préstamos'!$A$2:$A$101,0))," ",""))&amp;"?text="&amp;SUBSTITUTE("Hola "&amp;B275&amp;", te recuerdo que tu cuota de S/ "&amp;H275&amp;IF(E275&lt;TODAY()," vencio el "," vence el ")&amp;TEXT(E275,"dd/mm")&amp;". Gracias!"," ","%20"),"WhatsApp"))</f>
        <v/>
      </c>
    </row>
    <row r="276">
      <c r="A276" s="14" t="n"/>
      <c r="B276" s="16">
        <f>IF($A276="","",INDEX('Préstamos'!$B$2:$B$101,MATCH($A276,'Préstamos'!$A$2:$A$101,0)))</f>
        <v/>
      </c>
      <c r="C276" s="14" t="n"/>
      <c r="D276" s="14" t="n"/>
      <c r="E276" s="33" t="n"/>
      <c r="F276" s="29">
        <f>IF($A276="","",IF(D276="Solo interés",0,IF(AND(D276&lt;&gt;"Solo interés",C276=INDEX('Préstamos'!$G$2:$G$101,MATCH($A276,'Préstamos'!$A$2:$A$101,0))),INDEX('Préstamos'!$D$2:$D$101,MATCH($A276,'Préstamos'!$A$2:$A$101,0))-INDEX('Préstamos'!$J$2:$J$101,MATCH($A276,'Préstamos'!$A$2:$A$101,0))*(INDEX('Préstamos'!$G$2:$G$101,MATCH($A276,'Préstamos'!$A$2:$A$101,0))-1),INDEX('Préstamos'!$J$2:$J$101,MATCH($A276,'Préstamos'!$A$2:$A$101,0)))))</f>
        <v/>
      </c>
      <c r="G276" s="29">
        <f>IF($A276="","",IF(AND(D276&lt;&gt;"Solo interés",C276=INDEX('Préstamos'!$G$2:$G$101,MATCH($A276,'Préstamos'!$A$2:$A$101,0))),INDEX('Préstamos'!$I$2:$I$101,MATCH($A276,'Préstamos'!$A$2:$A$101,0))-INDEX('Préstamos'!$K$2:$K$101,MATCH($A276,'Préstamos'!$A$2:$A$101,0))*(INDEX('Préstamos'!$G$2:$G$101,MATCH($A276,'Préstamos'!$A$2:$A$101,0))-1),INDEX('Préstamos'!$K$2:$K$101,MATCH($A276,'Préstamos'!$A$2:$A$101,0))))</f>
        <v/>
      </c>
      <c r="H276" s="29">
        <f>IF($A276="","",F276+G276)</f>
        <v/>
      </c>
      <c r="I276" s="14" t="n"/>
      <c r="J276" s="33" t="n"/>
      <c r="K276" s="16">
        <f>IF(OR($A276="",I276="Pagado"),"",MAX(0,TODAY()-E276))</f>
        <v/>
      </c>
      <c r="L276" s="16">
        <f>IF($A276="","",IF(I276="Pagado","Pagado",IF(E276&lt;TODAY(),"Atrasado",IF(E276&lt;=EOMONTH(TODAY(),0),"Este mes","Pendiente"))))</f>
        <v/>
      </c>
      <c r="M276" s="20">
        <f>IF(OR($A276="",I276="Pagado"),"",HYPERLINK("https://wa.me/"&amp;IF(INDEX('Préstamos'!$C$2:$C$101,MATCH($A276,'Préstamos'!$A$2:$A$101,0))="","","51"&amp;SUBSTITUTE(INDEX('Préstamos'!$C$2:$C$101,MATCH($A276,'Préstamos'!$A$2:$A$101,0))," ",""))&amp;"?text="&amp;SUBSTITUTE("Hola "&amp;B276&amp;", te recuerdo que tu cuota de S/ "&amp;H276&amp;IF(E276&lt;TODAY()," vencio el "," vence el ")&amp;TEXT(E276,"dd/mm")&amp;". Gracias!"," ","%20"),"WhatsApp"))</f>
        <v/>
      </c>
    </row>
    <row r="277">
      <c r="A277" s="14" t="n"/>
      <c r="B277" s="16">
        <f>IF($A277="","",INDEX('Préstamos'!$B$2:$B$101,MATCH($A277,'Préstamos'!$A$2:$A$101,0)))</f>
        <v/>
      </c>
      <c r="C277" s="14" t="n"/>
      <c r="D277" s="14" t="n"/>
      <c r="E277" s="33" t="n"/>
      <c r="F277" s="29">
        <f>IF($A277="","",IF(D277="Solo interés",0,IF(AND(D277&lt;&gt;"Solo interés",C277=INDEX('Préstamos'!$G$2:$G$101,MATCH($A277,'Préstamos'!$A$2:$A$101,0))),INDEX('Préstamos'!$D$2:$D$101,MATCH($A277,'Préstamos'!$A$2:$A$101,0))-INDEX('Préstamos'!$J$2:$J$101,MATCH($A277,'Préstamos'!$A$2:$A$101,0))*(INDEX('Préstamos'!$G$2:$G$101,MATCH($A277,'Préstamos'!$A$2:$A$101,0))-1),INDEX('Préstamos'!$J$2:$J$101,MATCH($A277,'Préstamos'!$A$2:$A$101,0)))))</f>
        <v/>
      </c>
      <c r="G277" s="29">
        <f>IF($A277="","",IF(AND(D277&lt;&gt;"Solo interés",C277=INDEX('Préstamos'!$G$2:$G$101,MATCH($A277,'Préstamos'!$A$2:$A$101,0))),INDEX('Préstamos'!$I$2:$I$101,MATCH($A277,'Préstamos'!$A$2:$A$101,0))-INDEX('Préstamos'!$K$2:$K$101,MATCH($A277,'Préstamos'!$A$2:$A$101,0))*(INDEX('Préstamos'!$G$2:$G$101,MATCH($A277,'Préstamos'!$A$2:$A$101,0))-1),INDEX('Préstamos'!$K$2:$K$101,MATCH($A277,'Préstamos'!$A$2:$A$101,0))))</f>
        <v/>
      </c>
      <c r="H277" s="29">
        <f>IF($A277="","",F277+G277)</f>
        <v/>
      </c>
      <c r="I277" s="14" t="n"/>
      <c r="J277" s="33" t="n"/>
      <c r="K277" s="16">
        <f>IF(OR($A277="",I277="Pagado"),"",MAX(0,TODAY()-E277))</f>
        <v/>
      </c>
      <c r="L277" s="16">
        <f>IF($A277="","",IF(I277="Pagado","Pagado",IF(E277&lt;TODAY(),"Atrasado",IF(E277&lt;=EOMONTH(TODAY(),0),"Este mes","Pendiente"))))</f>
        <v/>
      </c>
      <c r="M277" s="20">
        <f>IF(OR($A277="",I277="Pagado"),"",HYPERLINK("https://wa.me/"&amp;IF(INDEX('Préstamos'!$C$2:$C$101,MATCH($A277,'Préstamos'!$A$2:$A$101,0))="","","51"&amp;SUBSTITUTE(INDEX('Préstamos'!$C$2:$C$101,MATCH($A277,'Préstamos'!$A$2:$A$101,0))," ",""))&amp;"?text="&amp;SUBSTITUTE("Hola "&amp;B277&amp;", te recuerdo que tu cuota de S/ "&amp;H277&amp;IF(E277&lt;TODAY()," vencio el "," vence el ")&amp;TEXT(E277,"dd/mm")&amp;". Gracias!"," ","%20"),"WhatsApp"))</f>
        <v/>
      </c>
    </row>
    <row r="278">
      <c r="A278" s="14" t="n"/>
      <c r="B278" s="16">
        <f>IF($A278="","",INDEX('Préstamos'!$B$2:$B$101,MATCH($A278,'Préstamos'!$A$2:$A$101,0)))</f>
        <v/>
      </c>
      <c r="C278" s="14" t="n"/>
      <c r="D278" s="14" t="n"/>
      <c r="E278" s="33" t="n"/>
      <c r="F278" s="29">
        <f>IF($A278="","",IF(D278="Solo interés",0,IF(AND(D278&lt;&gt;"Solo interés",C278=INDEX('Préstamos'!$G$2:$G$101,MATCH($A278,'Préstamos'!$A$2:$A$101,0))),INDEX('Préstamos'!$D$2:$D$101,MATCH($A278,'Préstamos'!$A$2:$A$101,0))-INDEX('Préstamos'!$J$2:$J$101,MATCH($A278,'Préstamos'!$A$2:$A$101,0))*(INDEX('Préstamos'!$G$2:$G$101,MATCH($A278,'Préstamos'!$A$2:$A$101,0))-1),INDEX('Préstamos'!$J$2:$J$101,MATCH($A278,'Préstamos'!$A$2:$A$101,0)))))</f>
        <v/>
      </c>
      <c r="G278" s="29">
        <f>IF($A278="","",IF(AND(D278&lt;&gt;"Solo interés",C278=INDEX('Préstamos'!$G$2:$G$101,MATCH($A278,'Préstamos'!$A$2:$A$101,0))),INDEX('Préstamos'!$I$2:$I$101,MATCH($A278,'Préstamos'!$A$2:$A$101,0))-INDEX('Préstamos'!$K$2:$K$101,MATCH($A278,'Préstamos'!$A$2:$A$101,0))*(INDEX('Préstamos'!$G$2:$G$101,MATCH($A278,'Préstamos'!$A$2:$A$101,0))-1),INDEX('Préstamos'!$K$2:$K$101,MATCH($A278,'Préstamos'!$A$2:$A$101,0))))</f>
        <v/>
      </c>
      <c r="H278" s="29">
        <f>IF($A278="","",F278+G278)</f>
        <v/>
      </c>
      <c r="I278" s="14" t="n"/>
      <c r="J278" s="33" t="n"/>
      <c r="K278" s="16">
        <f>IF(OR($A278="",I278="Pagado"),"",MAX(0,TODAY()-E278))</f>
        <v/>
      </c>
      <c r="L278" s="16">
        <f>IF($A278="","",IF(I278="Pagado","Pagado",IF(E278&lt;TODAY(),"Atrasado",IF(E278&lt;=EOMONTH(TODAY(),0),"Este mes","Pendiente"))))</f>
        <v/>
      </c>
      <c r="M278" s="20">
        <f>IF(OR($A278="",I278="Pagado"),"",HYPERLINK("https://wa.me/"&amp;IF(INDEX('Préstamos'!$C$2:$C$101,MATCH($A278,'Préstamos'!$A$2:$A$101,0))="","","51"&amp;SUBSTITUTE(INDEX('Préstamos'!$C$2:$C$101,MATCH($A278,'Préstamos'!$A$2:$A$101,0))," ",""))&amp;"?text="&amp;SUBSTITUTE("Hola "&amp;B278&amp;", te recuerdo que tu cuota de S/ "&amp;H278&amp;IF(E278&lt;TODAY()," vencio el "," vence el ")&amp;TEXT(E278,"dd/mm")&amp;". Gracias!"," ","%20"),"WhatsApp"))</f>
        <v/>
      </c>
    </row>
    <row r="279">
      <c r="A279" s="14" t="n"/>
      <c r="B279" s="16">
        <f>IF($A279="","",INDEX('Préstamos'!$B$2:$B$101,MATCH($A279,'Préstamos'!$A$2:$A$101,0)))</f>
        <v/>
      </c>
      <c r="C279" s="14" t="n"/>
      <c r="D279" s="14" t="n"/>
      <c r="E279" s="33" t="n"/>
      <c r="F279" s="29">
        <f>IF($A279="","",IF(D279="Solo interés",0,IF(AND(D279&lt;&gt;"Solo interés",C279=INDEX('Préstamos'!$G$2:$G$101,MATCH($A279,'Préstamos'!$A$2:$A$101,0))),INDEX('Préstamos'!$D$2:$D$101,MATCH($A279,'Préstamos'!$A$2:$A$101,0))-INDEX('Préstamos'!$J$2:$J$101,MATCH($A279,'Préstamos'!$A$2:$A$101,0))*(INDEX('Préstamos'!$G$2:$G$101,MATCH($A279,'Préstamos'!$A$2:$A$101,0))-1),INDEX('Préstamos'!$J$2:$J$101,MATCH($A279,'Préstamos'!$A$2:$A$101,0)))))</f>
        <v/>
      </c>
      <c r="G279" s="29">
        <f>IF($A279="","",IF(AND(D279&lt;&gt;"Solo interés",C279=INDEX('Préstamos'!$G$2:$G$101,MATCH($A279,'Préstamos'!$A$2:$A$101,0))),INDEX('Préstamos'!$I$2:$I$101,MATCH($A279,'Préstamos'!$A$2:$A$101,0))-INDEX('Préstamos'!$K$2:$K$101,MATCH($A279,'Préstamos'!$A$2:$A$101,0))*(INDEX('Préstamos'!$G$2:$G$101,MATCH($A279,'Préstamos'!$A$2:$A$101,0))-1),INDEX('Préstamos'!$K$2:$K$101,MATCH($A279,'Préstamos'!$A$2:$A$101,0))))</f>
        <v/>
      </c>
      <c r="H279" s="29">
        <f>IF($A279="","",F279+G279)</f>
        <v/>
      </c>
      <c r="I279" s="14" t="n"/>
      <c r="J279" s="33" t="n"/>
      <c r="K279" s="16">
        <f>IF(OR($A279="",I279="Pagado"),"",MAX(0,TODAY()-E279))</f>
        <v/>
      </c>
      <c r="L279" s="16">
        <f>IF($A279="","",IF(I279="Pagado","Pagado",IF(E279&lt;TODAY(),"Atrasado",IF(E279&lt;=EOMONTH(TODAY(),0),"Este mes","Pendiente"))))</f>
        <v/>
      </c>
      <c r="M279" s="20">
        <f>IF(OR($A279="",I279="Pagado"),"",HYPERLINK("https://wa.me/"&amp;IF(INDEX('Préstamos'!$C$2:$C$101,MATCH($A279,'Préstamos'!$A$2:$A$101,0))="","","51"&amp;SUBSTITUTE(INDEX('Préstamos'!$C$2:$C$101,MATCH($A279,'Préstamos'!$A$2:$A$101,0))," ",""))&amp;"?text="&amp;SUBSTITUTE("Hola "&amp;B279&amp;", te recuerdo que tu cuota de S/ "&amp;H279&amp;IF(E279&lt;TODAY()," vencio el "," vence el ")&amp;TEXT(E279,"dd/mm")&amp;". Gracias!"," ","%20"),"WhatsApp"))</f>
        <v/>
      </c>
    </row>
    <row r="280">
      <c r="A280" s="14" t="n"/>
      <c r="B280" s="16">
        <f>IF($A280="","",INDEX('Préstamos'!$B$2:$B$101,MATCH($A280,'Préstamos'!$A$2:$A$101,0)))</f>
        <v/>
      </c>
      <c r="C280" s="14" t="n"/>
      <c r="D280" s="14" t="n"/>
      <c r="E280" s="33" t="n"/>
      <c r="F280" s="29">
        <f>IF($A280="","",IF(D280="Solo interés",0,IF(AND(D280&lt;&gt;"Solo interés",C280=INDEX('Préstamos'!$G$2:$G$101,MATCH($A280,'Préstamos'!$A$2:$A$101,0))),INDEX('Préstamos'!$D$2:$D$101,MATCH($A280,'Préstamos'!$A$2:$A$101,0))-INDEX('Préstamos'!$J$2:$J$101,MATCH($A280,'Préstamos'!$A$2:$A$101,0))*(INDEX('Préstamos'!$G$2:$G$101,MATCH($A280,'Préstamos'!$A$2:$A$101,0))-1),INDEX('Préstamos'!$J$2:$J$101,MATCH($A280,'Préstamos'!$A$2:$A$101,0)))))</f>
        <v/>
      </c>
      <c r="G280" s="29">
        <f>IF($A280="","",IF(AND(D280&lt;&gt;"Solo interés",C280=INDEX('Préstamos'!$G$2:$G$101,MATCH($A280,'Préstamos'!$A$2:$A$101,0))),INDEX('Préstamos'!$I$2:$I$101,MATCH($A280,'Préstamos'!$A$2:$A$101,0))-INDEX('Préstamos'!$K$2:$K$101,MATCH($A280,'Préstamos'!$A$2:$A$101,0))*(INDEX('Préstamos'!$G$2:$G$101,MATCH($A280,'Préstamos'!$A$2:$A$101,0))-1),INDEX('Préstamos'!$K$2:$K$101,MATCH($A280,'Préstamos'!$A$2:$A$101,0))))</f>
        <v/>
      </c>
      <c r="H280" s="29">
        <f>IF($A280="","",F280+G280)</f>
        <v/>
      </c>
      <c r="I280" s="14" t="n"/>
      <c r="J280" s="33" t="n"/>
      <c r="K280" s="16">
        <f>IF(OR($A280="",I280="Pagado"),"",MAX(0,TODAY()-E280))</f>
        <v/>
      </c>
      <c r="L280" s="16">
        <f>IF($A280="","",IF(I280="Pagado","Pagado",IF(E280&lt;TODAY(),"Atrasado",IF(E280&lt;=EOMONTH(TODAY(),0),"Este mes","Pendiente"))))</f>
        <v/>
      </c>
      <c r="M280" s="20">
        <f>IF(OR($A280="",I280="Pagado"),"",HYPERLINK("https://wa.me/"&amp;IF(INDEX('Préstamos'!$C$2:$C$101,MATCH($A280,'Préstamos'!$A$2:$A$101,0))="","","51"&amp;SUBSTITUTE(INDEX('Préstamos'!$C$2:$C$101,MATCH($A280,'Préstamos'!$A$2:$A$101,0))," ",""))&amp;"?text="&amp;SUBSTITUTE("Hola "&amp;B280&amp;", te recuerdo que tu cuota de S/ "&amp;H280&amp;IF(E280&lt;TODAY()," vencio el "," vence el ")&amp;TEXT(E280,"dd/mm")&amp;". Gracias!"," ","%20"),"WhatsApp"))</f>
        <v/>
      </c>
    </row>
    <row r="281">
      <c r="A281" s="14" t="n"/>
      <c r="B281" s="16">
        <f>IF($A281="","",INDEX('Préstamos'!$B$2:$B$101,MATCH($A281,'Préstamos'!$A$2:$A$101,0)))</f>
        <v/>
      </c>
      <c r="C281" s="14" t="n"/>
      <c r="D281" s="14" t="n"/>
      <c r="E281" s="33" t="n"/>
      <c r="F281" s="29">
        <f>IF($A281="","",IF(D281="Solo interés",0,IF(AND(D281&lt;&gt;"Solo interés",C281=INDEX('Préstamos'!$G$2:$G$101,MATCH($A281,'Préstamos'!$A$2:$A$101,0))),INDEX('Préstamos'!$D$2:$D$101,MATCH($A281,'Préstamos'!$A$2:$A$101,0))-INDEX('Préstamos'!$J$2:$J$101,MATCH($A281,'Préstamos'!$A$2:$A$101,0))*(INDEX('Préstamos'!$G$2:$G$101,MATCH($A281,'Préstamos'!$A$2:$A$101,0))-1),INDEX('Préstamos'!$J$2:$J$101,MATCH($A281,'Préstamos'!$A$2:$A$101,0)))))</f>
        <v/>
      </c>
      <c r="G281" s="29">
        <f>IF($A281="","",IF(AND(D281&lt;&gt;"Solo interés",C281=INDEX('Préstamos'!$G$2:$G$101,MATCH($A281,'Préstamos'!$A$2:$A$101,0))),INDEX('Préstamos'!$I$2:$I$101,MATCH($A281,'Préstamos'!$A$2:$A$101,0))-INDEX('Préstamos'!$K$2:$K$101,MATCH($A281,'Préstamos'!$A$2:$A$101,0))*(INDEX('Préstamos'!$G$2:$G$101,MATCH($A281,'Préstamos'!$A$2:$A$101,0))-1),INDEX('Préstamos'!$K$2:$K$101,MATCH($A281,'Préstamos'!$A$2:$A$101,0))))</f>
        <v/>
      </c>
      <c r="H281" s="29">
        <f>IF($A281="","",F281+G281)</f>
        <v/>
      </c>
      <c r="I281" s="14" t="n"/>
      <c r="J281" s="33" t="n"/>
      <c r="K281" s="16">
        <f>IF(OR($A281="",I281="Pagado"),"",MAX(0,TODAY()-E281))</f>
        <v/>
      </c>
      <c r="L281" s="16">
        <f>IF($A281="","",IF(I281="Pagado","Pagado",IF(E281&lt;TODAY(),"Atrasado",IF(E281&lt;=EOMONTH(TODAY(),0),"Este mes","Pendiente"))))</f>
        <v/>
      </c>
      <c r="M281" s="20">
        <f>IF(OR($A281="",I281="Pagado"),"",HYPERLINK("https://wa.me/"&amp;IF(INDEX('Préstamos'!$C$2:$C$101,MATCH($A281,'Préstamos'!$A$2:$A$101,0))="","","51"&amp;SUBSTITUTE(INDEX('Préstamos'!$C$2:$C$101,MATCH($A281,'Préstamos'!$A$2:$A$101,0))," ",""))&amp;"?text="&amp;SUBSTITUTE("Hola "&amp;B281&amp;", te recuerdo que tu cuota de S/ "&amp;H281&amp;IF(E281&lt;TODAY()," vencio el "," vence el ")&amp;TEXT(E281,"dd/mm")&amp;". Gracias!"," ","%20"),"WhatsApp"))</f>
        <v/>
      </c>
    </row>
    <row r="282">
      <c r="A282" s="14" t="n"/>
      <c r="B282" s="16">
        <f>IF($A282="","",INDEX('Préstamos'!$B$2:$B$101,MATCH($A282,'Préstamos'!$A$2:$A$101,0)))</f>
        <v/>
      </c>
      <c r="C282" s="14" t="n"/>
      <c r="D282" s="14" t="n"/>
      <c r="E282" s="33" t="n"/>
      <c r="F282" s="29">
        <f>IF($A282="","",IF(D282="Solo interés",0,IF(AND(D282&lt;&gt;"Solo interés",C282=INDEX('Préstamos'!$G$2:$G$101,MATCH($A282,'Préstamos'!$A$2:$A$101,0))),INDEX('Préstamos'!$D$2:$D$101,MATCH($A282,'Préstamos'!$A$2:$A$101,0))-INDEX('Préstamos'!$J$2:$J$101,MATCH($A282,'Préstamos'!$A$2:$A$101,0))*(INDEX('Préstamos'!$G$2:$G$101,MATCH($A282,'Préstamos'!$A$2:$A$101,0))-1),INDEX('Préstamos'!$J$2:$J$101,MATCH($A282,'Préstamos'!$A$2:$A$101,0)))))</f>
        <v/>
      </c>
      <c r="G282" s="29">
        <f>IF($A282="","",IF(AND(D282&lt;&gt;"Solo interés",C282=INDEX('Préstamos'!$G$2:$G$101,MATCH($A282,'Préstamos'!$A$2:$A$101,0))),INDEX('Préstamos'!$I$2:$I$101,MATCH($A282,'Préstamos'!$A$2:$A$101,0))-INDEX('Préstamos'!$K$2:$K$101,MATCH($A282,'Préstamos'!$A$2:$A$101,0))*(INDEX('Préstamos'!$G$2:$G$101,MATCH($A282,'Préstamos'!$A$2:$A$101,0))-1),INDEX('Préstamos'!$K$2:$K$101,MATCH($A282,'Préstamos'!$A$2:$A$101,0))))</f>
        <v/>
      </c>
      <c r="H282" s="29">
        <f>IF($A282="","",F282+G282)</f>
        <v/>
      </c>
      <c r="I282" s="14" t="n"/>
      <c r="J282" s="33" t="n"/>
      <c r="K282" s="16">
        <f>IF(OR($A282="",I282="Pagado"),"",MAX(0,TODAY()-E282))</f>
        <v/>
      </c>
      <c r="L282" s="16">
        <f>IF($A282="","",IF(I282="Pagado","Pagado",IF(E282&lt;TODAY(),"Atrasado",IF(E282&lt;=EOMONTH(TODAY(),0),"Este mes","Pendiente"))))</f>
        <v/>
      </c>
      <c r="M282" s="20">
        <f>IF(OR($A282="",I282="Pagado"),"",HYPERLINK("https://wa.me/"&amp;IF(INDEX('Préstamos'!$C$2:$C$101,MATCH($A282,'Préstamos'!$A$2:$A$101,0))="","","51"&amp;SUBSTITUTE(INDEX('Préstamos'!$C$2:$C$101,MATCH($A282,'Préstamos'!$A$2:$A$101,0))," ",""))&amp;"?text="&amp;SUBSTITUTE("Hola "&amp;B282&amp;", te recuerdo que tu cuota de S/ "&amp;H282&amp;IF(E282&lt;TODAY()," vencio el "," vence el ")&amp;TEXT(E282,"dd/mm")&amp;". Gracias!"," ","%20"),"WhatsApp"))</f>
        <v/>
      </c>
    </row>
    <row r="283">
      <c r="A283" s="14" t="n"/>
      <c r="B283" s="16">
        <f>IF($A283="","",INDEX('Préstamos'!$B$2:$B$101,MATCH($A283,'Préstamos'!$A$2:$A$101,0)))</f>
        <v/>
      </c>
      <c r="C283" s="14" t="n"/>
      <c r="D283" s="14" t="n"/>
      <c r="E283" s="33" t="n"/>
      <c r="F283" s="29">
        <f>IF($A283="","",IF(D283="Solo interés",0,IF(AND(D283&lt;&gt;"Solo interés",C283=INDEX('Préstamos'!$G$2:$G$101,MATCH($A283,'Préstamos'!$A$2:$A$101,0))),INDEX('Préstamos'!$D$2:$D$101,MATCH($A283,'Préstamos'!$A$2:$A$101,0))-INDEX('Préstamos'!$J$2:$J$101,MATCH($A283,'Préstamos'!$A$2:$A$101,0))*(INDEX('Préstamos'!$G$2:$G$101,MATCH($A283,'Préstamos'!$A$2:$A$101,0))-1),INDEX('Préstamos'!$J$2:$J$101,MATCH($A283,'Préstamos'!$A$2:$A$101,0)))))</f>
        <v/>
      </c>
      <c r="G283" s="29">
        <f>IF($A283="","",IF(AND(D283&lt;&gt;"Solo interés",C283=INDEX('Préstamos'!$G$2:$G$101,MATCH($A283,'Préstamos'!$A$2:$A$101,0))),INDEX('Préstamos'!$I$2:$I$101,MATCH($A283,'Préstamos'!$A$2:$A$101,0))-INDEX('Préstamos'!$K$2:$K$101,MATCH($A283,'Préstamos'!$A$2:$A$101,0))*(INDEX('Préstamos'!$G$2:$G$101,MATCH($A283,'Préstamos'!$A$2:$A$101,0))-1),INDEX('Préstamos'!$K$2:$K$101,MATCH($A283,'Préstamos'!$A$2:$A$101,0))))</f>
        <v/>
      </c>
      <c r="H283" s="29">
        <f>IF($A283="","",F283+G283)</f>
        <v/>
      </c>
      <c r="I283" s="14" t="n"/>
      <c r="J283" s="33" t="n"/>
      <c r="K283" s="16">
        <f>IF(OR($A283="",I283="Pagado"),"",MAX(0,TODAY()-E283))</f>
        <v/>
      </c>
      <c r="L283" s="16">
        <f>IF($A283="","",IF(I283="Pagado","Pagado",IF(E283&lt;TODAY(),"Atrasado",IF(E283&lt;=EOMONTH(TODAY(),0),"Este mes","Pendiente"))))</f>
        <v/>
      </c>
      <c r="M283" s="20">
        <f>IF(OR($A283="",I283="Pagado"),"",HYPERLINK("https://wa.me/"&amp;IF(INDEX('Préstamos'!$C$2:$C$101,MATCH($A283,'Préstamos'!$A$2:$A$101,0))="","","51"&amp;SUBSTITUTE(INDEX('Préstamos'!$C$2:$C$101,MATCH($A283,'Préstamos'!$A$2:$A$101,0))," ",""))&amp;"?text="&amp;SUBSTITUTE("Hola "&amp;B283&amp;", te recuerdo que tu cuota de S/ "&amp;H283&amp;IF(E283&lt;TODAY()," vencio el "," vence el ")&amp;TEXT(E283,"dd/mm")&amp;". Gracias!"," ","%20"),"WhatsApp"))</f>
        <v/>
      </c>
    </row>
    <row r="284">
      <c r="A284" s="14" t="n"/>
      <c r="B284" s="16">
        <f>IF($A284="","",INDEX('Préstamos'!$B$2:$B$101,MATCH($A284,'Préstamos'!$A$2:$A$101,0)))</f>
        <v/>
      </c>
      <c r="C284" s="14" t="n"/>
      <c r="D284" s="14" t="n"/>
      <c r="E284" s="33" t="n"/>
      <c r="F284" s="29">
        <f>IF($A284="","",IF(D284="Solo interés",0,IF(AND(D284&lt;&gt;"Solo interés",C284=INDEX('Préstamos'!$G$2:$G$101,MATCH($A284,'Préstamos'!$A$2:$A$101,0))),INDEX('Préstamos'!$D$2:$D$101,MATCH($A284,'Préstamos'!$A$2:$A$101,0))-INDEX('Préstamos'!$J$2:$J$101,MATCH($A284,'Préstamos'!$A$2:$A$101,0))*(INDEX('Préstamos'!$G$2:$G$101,MATCH($A284,'Préstamos'!$A$2:$A$101,0))-1),INDEX('Préstamos'!$J$2:$J$101,MATCH($A284,'Préstamos'!$A$2:$A$101,0)))))</f>
        <v/>
      </c>
      <c r="G284" s="29">
        <f>IF($A284="","",IF(AND(D284&lt;&gt;"Solo interés",C284=INDEX('Préstamos'!$G$2:$G$101,MATCH($A284,'Préstamos'!$A$2:$A$101,0))),INDEX('Préstamos'!$I$2:$I$101,MATCH($A284,'Préstamos'!$A$2:$A$101,0))-INDEX('Préstamos'!$K$2:$K$101,MATCH($A284,'Préstamos'!$A$2:$A$101,0))*(INDEX('Préstamos'!$G$2:$G$101,MATCH($A284,'Préstamos'!$A$2:$A$101,0))-1),INDEX('Préstamos'!$K$2:$K$101,MATCH($A284,'Préstamos'!$A$2:$A$101,0))))</f>
        <v/>
      </c>
      <c r="H284" s="29">
        <f>IF($A284="","",F284+G284)</f>
        <v/>
      </c>
      <c r="I284" s="14" t="n"/>
      <c r="J284" s="33" t="n"/>
      <c r="K284" s="16">
        <f>IF(OR($A284="",I284="Pagado"),"",MAX(0,TODAY()-E284))</f>
        <v/>
      </c>
      <c r="L284" s="16">
        <f>IF($A284="","",IF(I284="Pagado","Pagado",IF(E284&lt;TODAY(),"Atrasado",IF(E284&lt;=EOMONTH(TODAY(),0),"Este mes","Pendiente"))))</f>
        <v/>
      </c>
      <c r="M284" s="20">
        <f>IF(OR($A284="",I284="Pagado"),"",HYPERLINK("https://wa.me/"&amp;IF(INDEX('Préstamos'!$C$2:$C$101,MATCH($A284,'Préstamos'!$A$2:$A$101,0))="","","51"&amp;SUBSTITUTE(INDEX('Préstamos'!$C$2:$C$101,MATCH($A284,'Préstamos'!$A$2:$A$101,0))," ",""))&amp;"?text="&amp;SUBSTITUTE("Hola "&amp;B284&amp;", te recuerdo que tu cuota de S/ "&amp;H284&amp;IF(E284&lt;TODAY()," vencio el "," vence el ")&amp;TEXT(E284,"dd/mm")&amp;". Gracias!"," ","%20"),"WhatsApp"))</f>
        <v/>
      </c>
    </row>
    <row r="285">
      <c r="A285" s="14" t="n"/>
      <c r="B285" s="16">
        <f>IF($A285="","",INDEX('Préstamos'!$B$2:$B$101,MATCH($A285,'Préstamos'!$A$2:$A$101,0)))</f>
        <v/>
      </c>
      <c r="C285" s="14" t="n"/>
      <c r="D285" s="14" t="n"/>
      <c r="E285" s="33" t="n"/>
      <c r="F285" s="29">
        <f>IF($A285="","",IF(D285="Solo interés",0,IF(AND(D285&lt;&gt;"Solo interés",C285=INDEX('Préstamos'!$G$2:$G$101,MATCH($A285,'Préstamos'!$A$2:$A$101,0))),INDEX('Préstamos'!$D$2:$D$101,MATCH($A285,'Préstamos'!$A$2:$A$101,0))-INDEX('Préstamos'!$J$2:$J$101,MATCH($A285,'Préstamos'!$A$2:$A$101,0))*(INDEX('Préstamos'!$G$2:$G$101,MATCH($A285,'Préstamos'!$A$2:$A$101,0))-1),INDEX('Préstamos'!$J$2:$J$101,MATCH($A285,'Préstamos'!$A$2:$A$101,0)))))</f>
        <v/>
      </c>
      <c r="G285" s="29">
        <f>IF($A285="","",IF(AND(D285&lt;&gt;"Solo interés",C285=INDEX('Préstamos'!$G$2:$G$101,MATCH($A285,'Préstamos'!$A$2:$A$101,0))),INDEX('Préstamos'!$I$2:$I$101,MATCH($A285,'Préstamos'!$A$2:$A$101,0))-INDEX('Préstamos'!$K$2:$K$101,MATCH($A285,'Préstamos'!$A$2:$A$101,0))*(INDEX('Préstamos'!$G$2:$G$101,MATCH($A285,'Préstamos'!$A$2:$A$101,0))-1),INDEX('Préstamos'!$K$2:$K$101,MATCH($A285,'Préstamos'!$A$2:$A$101,0))))</f>
        <v/>
      </c>
      <c r="H285" s="29">
        <f>IF($A285="","",F285+G285)</f>
        <v/>
      </c>
      <c r="I285" s="14" t="n"/>
      <c r="J285" s="33" t="n"/>
      <c r="K285" s="16">
        <f>IF(OR($A285="",I285="Pagado"),"",MAX(0,TODAY()-E285))</f>
        <v/>
      </c>
      <c r="L285" s="16">
        <f>IF($A285="","",IF(I285="Pagado","Pagado",IF(E285&lt;TODAY(),"Atrasado",IF(E285&lt;=EOMONTH(TODAY(),0),"Este mes","Pendiente"))))</f>
        <v/>
      </c>
      <c r="M285" s="20">
        <f>IF(OR($A285="",I285="Pagado"),"",HYPERLINK("https://wa.me/"&amp;IF(INDEX('Préstamos'!$C$2:$C$101,MATCH($A285,'Préstamos'!$A$2:$A$101,0))="","","51"&amp;SUBSTITUTE(INDEX('Préstamos'!$C$2:$C$101,MATCH($A285,'Préstamos'!$A$2:$A$101,0))," ",""))&amp;"?text="&amp;SUBSTITUTE("Hola "&amp;B285&amp;", te recuerdo que tu cuota de S/ "&amp;H285&amp;IF(E285&lt;TODAY()," vencio el "," vence el ")&amp;TEXT(E285,"dd/mm")&amp;". Gracias!"," ","%20"),"WhatsApp"))</f>
        <v/>
      </c>
    </row>
    <row r="286">
      <c r="A286" s="14" t="n"/>
      <c r="B286" s="16">
        <f>IF($A286="","",INDEX('Préstamos'!$B$2:$B$101,MATCH($A286,'Préstamos'!$A$2:$A$101,0)))</f>
        <v/>
      </c>
      <c r="C286" s="14" t="n"/>
      <c r="D286" s="14" t="n"/>
      <c r="E286" s="33" t="n"/>
      <c r="F286" s="29">
        <f>IF($A286="","",IF(D286="Solo interés",0,IF(AND(D286&lt;&gt;"Solo interés",C286=INDEX('Préstamos'!$G$2:$G$101,MATCH($A286,'Préstamos'!$A$2:$A$101,0))),INDEX('Préstamos'!$D$2:$D$101,MATCH($A286,'Préstamos'!$A$2:$A$101,0))-INDEX('Préstamos'!$J$2:$J$101,MATCH($A286,'Préstamos'!$A$2:$A$101,0))*(INDEX('Préstamos'!$G$2:$G$101,MATCH($A286,'Préstamos'!$A$2:$A$101,0))-1),INDEX('Préstamos'!$J$2:$J$101,MATCH($A286,'Préstamos'!$A$2:$A$101,0)))))</f>
        <v/>
      </c>
      <c r="G286" s="29">
        <f>IF($A286="","",IF(AND(D286&lt;&gt;"Solo interés",C286=INDEX('Préstamos'!$G$2:$G$101,MATCH($A286,'Préstamos'!$A$2:$A$101,0))),INDEX('Préstamos'!$I$2:$I$101,MATCH($A286,'Préstamos'!$A$2:$A$101,0))-INDEX('Préstamos'!$K$2:$K$101,MATCH($A286,'Préstamos'!$A$2:$A$101,0))*(INDEX('Préstamos'!$G$2:$G$101,MATCH($A286,'Préstamos'!$A$2:$A$101,0))-1),INDEX('Préstamos'!$K$2:$K$101,MATCH($A286,'Préstamos'!$A$2:$A$101,0))))</f>
        <v/>
      </c>
      <c r="H286" s="29">
        <f>IF($A286="","",F286+G286)</f>
        <v/>
      </c>
      <c r="I286" s="14" t="n"/>
      <c r="J286" s="33" t="n"/>
      <c r="K286" s="16">
        <f>IF(OR($A286="",I286="Pagado"),"",MAX(0,TODAY()-E286))</f>
        <v/>
      </c>
      <c r="L286" s="16">
        <f>IF($A286="","",IF(I286="Pagado","Pagado",IF(E286&lt;TODAY(),"Atrasado",IF(E286&lt;=EOMONTH(TODAY(),0),"Este mes","Pendiente"))))</f>
        <v/>
      </c>
      <c r="M286" s="20">
        <f>IF(OR($A286="",I286="Pagado"),"",HYPERLINK("https://wa.me/"&amp;IF(INDEX('Préstamos'!$C$2:$C$101,MATCH($A286,'Préstamos'!$A$2:$A$101,0))="","","51"&amp;SUBSTITUTE(INDEX('Préstamos'!$C$2:$C$101,MATCH($A286,'Préstamos'!$A$2:$A$101,0))," ",""))&amp;"?text="&amp;SUBSTITUTE("Hola "&amp;B286&amp;", te recuerdo que tu cuota de S/ "&amp;H286&amp;IF(E286&lt;TODAY()," vencio el "," vence el ")&amp;TEXT(E286,"dd/mm")&amp;". Gracias!"," ","%20"),"WhatsApp"))</f>
        <v/>
      </c>
    </row>
    <row r="287">
      <c r="A287" s="14" t="n"/>
      <c r="B287" s="16">
        <f>IF($A287="","",INDEX('Préstamos'!$B$2:$B$101,MATCH($A287,'Préstamos'!$A$2:$A$101,0)))</f>
        <v/>
      </c>
      <c r="C287" s="14" t="n"/>
      <c r="D287" s="14" t="n"/>
      <c r="E287" s="33" t="n"/>
      <c r="F287" s="29">
        <f>IF($A287="","",IF(D287="Solo interés",0,IF(AND(D287&lt;&gt;"Solo interés",C287=INDEX('Préstamos'!$G$2:$G$101,MATCH($A287,'Préstamos'!$A$2:$A$101,0))),INDEX('Préstamos'!$D$2:$D$101,MATCH($A287,'Préstamos'!$A$2:$A$101,0))-INDEX('Préstamos'!$J$2:$J$101,MATCH($A287,'Préstamos'!$A$2:$A$101,0))*(INDEX('Préstamos'!$G$2:$G$101,MATCH($A287,'Préstamos'!$A$2:$A$101,0))-1),INDEX('Préstamos'!$J$2:$J$101,MATCH($A287,'Préstamos'!$A$2:$A$101,0)))))</f>
        <v/>
      </c>
      <c r="G287" s="29">
        <f>IF($A287="","",IF(AND(D287&lt;&gt;"Solo interés",C287=INDEX('Préstamos'!$G$2:$G$101,MATCH($A287,'Préstamos'!$A$2:$A$101,0))),INDEX('Préstamos'!$I$2:$I$101,MATCH($A287,'Préstamos'!$A$2:$A$101,0))-INDEX('Préstamos'!$K$2:$K$101,MATCH($A287,'Préstamos'!$A$2:$A$101,0))*(INDEX('Préstamos'!$G$2:$G$101,MATCH($A287,'Préstamos'!$A$2:$A$101,0))-1),INDEX('Préstamos'!$K$2:$K$101,MATCH($A287,'Préstamos'!$A$2:$A$101,0))))</f>
        <v/>
      </c>
      <c r="H287" s="29">
        <f>IF($A287="","",F287+G287)</f>
        <v/>
      </c>
      <c r="I287" s="14" t="n"/>
      <c r="J287" s="33" t="n"/>
      <c r="K287" s="16">
        <f>IF(OR($A287="",I287="Pagado"),"",MAX(0,TODAY()-E287))</f>
        <v/>
      </c>
      <c r="L287" s="16">
        <f>IF($A287="","",IF(I287="Pagado","Pagado",IF(E287&lt;TODAY(),"Atrasado",IF(E287&lt;=EOMONTH(TODAY(),0),"Este mes","Pendiente"))))</f>
        <v/>
      </c>
      <c r="M287" s="20">
        <f>IF(OR($A287="",I287="Pagado"),"",HYPERLINK("https://wa.me/"&amp;IF(INDEX('Préstamos'!$C$2:$C$101,MATCH($A287,'Préstamos'!$A$2:$A$101,0))="","","51"&amp;SUBSTITUTE(INDEX('Préstamos'!$C$2:$C$101,MATCH($A287,'Préstamos'!$A$2:$A$101,0))," ",""))&amp;"?text="&amp;SUBSTITUTE("Hola "&amp;B287&amp;", te recuerdo que tu cuota de S/ "&amp;H287&amp;IF(E287&lt;TODAY()," vencio el "," vence el ")&amp;TEXT(E287,"dd/mm")&amp;". Gracias!"," ","%20"),"WhatsApp"))</f>
        <v/>
      </c>
    </row>
    <row r="288">
      <c r="A288" s="14" t="n"/>
      <c r="B288" s="16">
        <f>IF($A288="","",INDEX('Préstamos'!$B$2:$B$101,MATCH($A288,'Préstamos'!$A$2:$A$101,0)))</f>
        <v/>
      </c>
      <c r="C288" s="14" t="n"/>
      <c r="D288" s="14" t="n"/>
      <c r="E288" s="33" t="n"/>
      <c r="F288" s="29">
        <f>IF($A288="","",IF(D288="Solo interés",0,IF(AND(D288&lt;&gt;"Solo interés",C288=INDEX('Préstamos'!$G$2:$G$101,MATCH($A288,'Préstamos'!$A$2:$A$101,0))),INDEX('Préstamos'!$D$2:$D$101,MATCH($A288,'Préstamos'!$A$2:$A$101,0))-INDEX('Préstamos'!$J$2:$J$101,MATCH($A288,'Préstamos'!$A$2:$A$101,0))*(INDEX('Préstamos'!$G$2:$G$101,MATCH($A288,'Préstamos'!$A$2:$A$101,0))-1),INDEX('Préstamos'!$J$2:$J$101,MATCH($A288,'Préstamos'!$A$2:$A$101,0)))))</f>
        <v/>
      </c>
      <c r="G288" s="29">
        <f>IF($A288="","",IF(AND(D288&lt;&gt;"Solo interés",C288=INDEX('Préstamos'!$G$2:$G$101,MATCH($A288,'Préstamos'!$A$2:$A$101,0))),INDEX('Préstamos'!$I$2:$I$101,MATCH($A288,'Préstamos'!$A$2:$A$101,0))-INDEX('Préstamos'!$K$2:$K$101,MATCH($A288,'Préstamos'!$A$2:$A$101,0))*(INDEX('Préstamos'!$G$2:$G$101,MATCH($A288,'Préstamos'!$A$2:$A$101,0))-1),INDEX('Préstamos'!$K$2:$K$101,MATCH($A288,'Préstamos'!$A$2:$A$101,0))))</f>
        <v/>
      </c>
      <c r="H288" s="29">
        <f>IF($A288="","",F288+G288)</f>
        <v/>
      </c>
      <c r="I288" s="14" t="n"/>
      <c r="J288" s="33" t="n"/>
      <c r="K288" s="16">
        <f>IF(OR($A288="",I288="Pagado"),"",MAX(0,TODAY()-E288))</f>
        <v/>
      </c>
      <c r="L288" s="16">
        <f>IF($A288="","",IF(I288="Pagado","Pagado",IF(E288&lt;TODAY(),"Atrasado",IF(E288&lt;=EOMONTH(TODAY(),0),"Este mes","Pendiente"))))</f>
        <v/>
      </c>
      <c r="M288" s="20">
        <f>IF(OR($A288="",I288="Pagado"),"",HYPERLINK("https://wa.me/"&amp;IF(INDEX('Préstamos'!$C$2:$C$101,MATCH($A288,'Préstamos'!$A$2:$A$101,0))="","","51"&amp;SUBSTITUTE(INDEX('Préstamos'!$C$2:$C$101,MATCH($A288,'Préstamos'!$A$2:$A$101,0))," ",""))&amp;"?text="&amp;SUBSTITUTE("Hola "&amp;B288&amp;", te recuerdo que tu cuota de S/ "&amp;H288&amp;IF(E288&lt;TODAY()," vencio el "," vence el ")&amp;TEXT(E288,"dd/mm")&amp;". Gracias!"," ","%20"),"WhatsApp"))</f>
        <v/>
      </c>
    </row>
    <row r="289">
      <c r="A289" s="14" t="n"/>
      <c r="B289" s="16">
        <f>IF($A289="","",INDEX('Préstamos'!$B$2:$B$101,MATCH($A289,'Préstamos'!$A$2:$A$101,0)))</f>
        <v/>
      </c>
      <c r="C289" s="14" t="n"/>
      <c r="D289" s="14" t="n"/>
      <c r="E289" s="33" t="n"/>
      <c r="F289" s="29">
        <f>IF($A289="","",IF(D289="Solo interés",0,IF(AND(D289&lt;&gt;"Solo interés",C289=INDEX('Préstamos'!$G$2:$G$101,MATCH($A289,'Préstamos'!$A$2:$A$101,0))),INDEX('Préstamos'!$D$2:$D$101,MATCH($A289,'Préstamos'!$A$2:$A$101,0))-INDEX('Préstamos'!$J$2:$J$101,MATCH($A289,'Préstamos'!$A$2:$A$101,0))*(INDEX('Préstamos'!$G$2:$G$101,MATCH($A289,'Préstamos'!$A$2:$A$101,0))-1),INDEX('Préstamos'!$J$2:$J$101,MATCH($A289,'Préstamos'!$A$2:$A$101,0)))))</f>
        <v/>
      </c>
      <c r="G289" s="29">
        <f>IF($A289="","",IF(AND(D289&lt;&gt;"Solo interés",C289=INDEX('Préstamos'!$G$2:$G$101,MATCH($A289,'Préstamos'!$A$2:$A$101,0))),INDEX('Préstamos'!$I$2:$I$101,MATCH($A289,'Préstamos'!$A$2:$A$101,0))-INDEX('Préstamos'!$K$2:$K$101,MATCH($A289,'Préstamos'!$A$2:$A$101,0))*(INDEX('Préstamos'!$G$2:$G$101,MATCH($A289,'Préstamos'!$A$2:$A$101,0))-1),INDEX('Préstamos'!$K$2:$K$101,MATCH($A289,'Préstamos'!$A$2:$A$101,0))))</f>
        <v/>
      </c>
      <c r="H289" s="29">
        <f>IF($A289="","",F289+G289)</f>
        <v/>
      </c>
      <c r="I289" s="14" t="n"/>
      <c r="J289" s="33" t="n"/>
      <c r="K289" s="16">
        <f>IF(OR($A289="",I289="Pagado"),"",MAX(0,TODAY()-E289))</f>
        <v/>
      </c>
      <c r="L289" s="16">
        <f>IF($A289="","",IF(I289="Pagado","Pagado",IF(E289&lt;TODAY(),"Atrasado",IF(E289&lt;=EOMONTH(TODAY(),0),"Este mes","Pendiente"))))</f>
        <v/>
      </c>
      <c r="M289" s="20">
        <f>IF(OR($A289="",I289="Pagado"),"",HYPERLINK("https://wa.me/"&amp;IF(INDEX('Préstamos'!$C$2:$C$101,MATCH($A289,'Préstamos'!$A$2:$A$101,0))="","","51"&amp;SUBSTITUTE(INDEX('Préstamos'!$C$2:$C$101,MATCH($A289,'Préstamos'!$A$2:$A$101,0))," ",""))&amp;"?text="&amp;SUBSTITUTE("Hola "&amp;B289&amp;", te recuerdo que tu cuota de S/ "&amp;H289&amp;IF(E289&lt;TODAY()," vencio el "," vence el ")&amp;TEXT(E289,"dd/mm")&amp;". Gracias!"," ","%20"),"WhatsApp"))</f>
        <v/>
      </c>
    </row>
    <row r="290">
      <c r="A290" s="14" t="n"/>
      <c r="B290" s="16">
        <f>IF($A290="","",INDEX('Préstamos'!$B$2:$B$101,MATCH($A290,'Préstamos'!$A$2:$A$101,0)))</f>
        <v/>
      </c>
      <c r="C290" s="14" t="n"/>
      <c r="D290" s="14" t="n"/>
      <c r="E290" s="33" t="n"/>
      <c r="F290" s="29">
        <f>IF($A290="","",IF(D290="Solo interés",0,IF(AND(D290&lt;&gt;"Solo interés",C290=INDEX('Préstamos'!$G$2:$G$101,MATCH($A290,'Préstamos'!$A$2:$A$101,0))),INDEX('Préstamos'!$D$2:$D$101,MATCH($A290,'Préstamos'!$A$2:$A$101,0))-INDEX('Préstamos'!$J$2:$J$101,MATCH($A290,'Préstamos'!$A$2:$A$101,0))*(INDEX('Préstamos'!$G$2:$G$101,MATCH($A290,'Préstamos'!$A$2:$A$101,0))-1),INDEX('Préstamos'!$J$2:$J$101,MATCH($A290,'Préstamos'!$A$2:$A$101,0)))))</f>
        <v/>
      </c>
      <c r="G290" s="29">
        <f>IF($A290="","",IF(AND(D290&lt;&gt;"Solo interés",C290=INDEX('Préstamos'!$G$2:$G$101,MATCH($A290,'Préstamos'!$A$2:$A$101,0))),INDEX('Préstamos'!$I$2:$I$101,MATCH($A290,'Préstamos'!$A$2:$A$101,0))-INDEX('Préstamos'!$K$2:$K$101,MATCH($A290,'Préstamos'!$A$2:$A$101,0))*(INDEX('Préstamos'!$G$2:$G$101,MATCH($A290,'Préstamos'!$A$2:$A$101,0))-1),INDEX('Préstamos'!$K$2:$K$101,MATCH($A290,'Préstamos'!$A$2:$A$101,0))))</f>
        <v/>
      </c>
      <c r="H290" s="29">
        <f>IF($A290="","",F290+G290)</f>
        <v/>
      </c>
      <c r="I290" s="14" t="n"/>
      <c r="J290" s="33" t="n"/>
      <c r="K290" s="16">
        <f>IF(OR($A290="",I290="Pagado"),"",MAX(0,TODAY()-E290))</f>
        <v/>
      </c>
      <c r="L290" s="16">
        <f>IF($A290="","",IF(I290="Pagado","Pagado",IF(E290&lt;TODAY(),"Atrasado",IF(E290&lt;=EOMONTH(TODAY(),0),"Este mes","Pendiente"))))</f>
        <v/>
      </c>
      <c r="M290" s="20">
        <f>IF(OR($A290="",I290="Pagado"),"",HYPERLINK("https://wa.me/"&amp;IF(INDEX('Préstamos'!$C$2:$C$101,MATCH($A290,'Préstamos'!$A$2:$A$101,0))="","","51"&amp;SUBSTITUTE(INDEX('Préstamos'!$C$2:$C$101,MATCH($A290,'Préstamos'!$A$2:$A$101,0))," ",""))&amp;"?text="&amp;SUBSTITUTE("Hola "&amp;B290&amp;", te recuerdo que tu cuota de S/ "&amp;H290&amp;IF(E290&lt;TODAY()," vencio el "," vence el ")&amp;TEXT(E290,"dd/mm")&amp;". Gracias!"," ","%20"),"WhatsApp"))</f>
        <v/>
      </c>
    </row>
    <row r="291">
      <c r="A291" s="14" t="n"/>
      <c r="B291" s="16">
        <f>IF($A291="","",INDEX('Préstamos'!$B$2:$B$101,MATCH($A291,'Préstamos'!$A$2:$A$101,0)))</f>
        <v/>
      </c>
      <c r="C291" s="14" t="n"/>
      <c r="D291" s="14" t="n"/>
      <c r="E291" s="33" t="n"/>
      <c r="F291" s="29">
        <f>IF($A291="","",IF(D291="Solo interés",0,IF(AND(D291&lt;&gt;"Solo interés",C291=INDEX('Préstamos'!$G$2:$G$101,MATCH($A291,'Préstamos'!$A$2:$A$101,0))),INDEX('Préstamos'!$D$2:$D$101,MATCH($A291,'Préstamos'!$A$2:$A$101,0))-INDEX('Préstamos'!$J$2:$J$101,MATCH($A291,'Préstamos'!$A$2:$A$101,0))*(INDEX('Préstamos'!$G$2:$G$101,MATCH($A291,'Préstamos'!$A$2:$A$101,0))-1),INDEX('Préstamos'!$J$2:$J$101,MATCH($A291,'Préstamos'!$A$2:$A$101,0)))))</f>
        <v/>
      </c>
      <c r="G291" s="29">
        <f>IF($A291="","",IF(AND(D291&lt;&gt;"Solo interés",C291=INDEX('Préstamos'!$G$2:$G$101,MATCH($A291,'Préstamos'!$A$2:$A$101,0))),INDEX('Préstamos'!$I$2:$I$101,MATCH($A291,'Préstamos'!$A$2:$A$101,0))-INDEX('Préstamos'!$K$2:$K$101,MATCH($A291,'Préstamos'!$A$2:$A$101,0))*(INDEX('Préstamos'!$G$2:$G$101,MATCH($A291,'Préstamos'!$A$2:$A$101,0))-1),INDEX('Préstamos'!$K$2:$K$101,MATCH($A291,'Préstamos'!$A$2:$A$101,0))))</f>
        <v/>
      </c>
      <c r="H291" s="29">
        <f>IF($A291="","",F291+G291)</f>
        <v/>
      </c>
      <c r="I291" s="14" t="n"/>
      <c r="J291" s="33" t="n"/>
      <c r="K291" s="16">
        <f>IF(OR($A291="",I291="Pagado"),"",MAX(0,TODAY()-E291))</f>
        <v/>
      </c>
      <c r="L291" s="16">
        <f>IF($A291="","",IF(I291="Pagado","Pagado",IF(E291&lt;TODAY(),"Atrasado",IF(E291&lt;=EOMONTH(TODAY(),0),"Este mes","Pendiente"))))</f>
        <v/>
      </c>
      <c r="M291" s="20">
        <f>IF(OR($A291="",I291="Pagado"),"",HYPERLINK("https://wa.me/"&amp;IF(INDEX('Préstamos'!$C$2:$C$101,MATCH($A291,'Préstamos'!$A$2:$A$101,0))="","","51"&amp;SUBSTITUTE(INDEX('Préstamos'!$C$2:$C$101,MATCH($A291,'Préstamos'!$A$2:$A$101,0))," ",""))&amp;"?text="&amp;SUBSTITUTE("Hola "&amp;B291&amp;", te recuerdo que tu cuota de S/ "&amp;H291&amp;IF(E291&lt;TODAY()," vencio el "," vence el ")&amp;TEXT(E291,"dd/mm")&amp;". Gracias!"," ","%20"),"WhatsApp"))</f>
        <v/>
      </c>
    </row>
    <row r="292">
      <c r="A292" s="14" t="n"/>
      <c r="B292" s="16">
        <f>IF($A292="","",INDEX('Préstamos'!$B$2:$B$101,MATCH($A292,'Préstamos'!$A$2:$A$101,0)))</f>
        <v/>
      </c>
      <c r="C292" s="14" t="n"/>
      <c r="D292" s="14" t="n"/>
      <c r="E292" s="33" t="n"/>
      <c r="F292" s="29">
        <f>IF($A292="","",IF(D292="Solo interés",0,IF(AND(D292&lt;&gt;"Solo interés",C292=INDEX('Préstamos'!$G$2:$G$101,MATCH($A292,'Préstamos'!$A$2:$A$101,0))),INDEX('Préstamos'!$D$2:$D$101,MATCH($A292,'Préstamos'!$A$2:$A$101,0))-INDEX('Préstamos'!$J$2:$J$101,MATCH($A292,'Préstamos'!$A$2:$A$101,0))*(INDEX('Préstamos'!$G$2:$G$101,MATCH($A292,'Préstamos'!$A$2:$A$101,0))-1),INDEX('Préstamos'!$J$2:$J$101,MATCH($A292,'Préstamos'!$A$2:$A$101,0)))))</f>
        <v/>
      </c>
      <c r="G292" s="29">
        <f>IF($A292="","",IF(AND(D292&lt;&gt;"Solo interés",C292=INDEX('Préstamos'!$G$2:$G$101,MATCH($A292,'Préstamos'!$A$2:$A$101,0))),INDEX('Préstamos'!$I$2:$I$101,MATCH($A292,'Préstamos'!$A$2:$A$101,0))-INDEX('Préstamos'!$K$2:$K$101,MATCH($A292,'Préstamos'!$A$2:$A$101,0))*(INDEX('Préstamos'!$G$2:$G$101,MATCH($A292,'Préstamos'!$A$2:$A$101,0))-1),INDEX('Préstamos'!$K$2:$K$101,MATCH($A292,'Préstamos'!$A$2:$A$101,0))))</f>
        <v/>
      </c>
      <c r="H292" s="29">
        <f>IF($A292="","",F292+G292)</f>
        <v/>
      </c>
      <c r="I292" s="14" t="n"/>
      <c r="J292" s="33" t="n"/>
      <c r="K292" s="16">
        <f>IF(OR($A292="",I292="Pagado"),"",MAX(0,TODAY()-E292))</f>
        <v/>
      </c>
      <c r="L292" s="16">
        <f>IF($A292="","",IF(I292="Pagado","Pagado",IF(E292&lt;TODAY(),"Atrasado",IF(E292&lt;=EOMONTH(TODAY(),0),"Este mes","Pendiente"))))</f>
        <v/>
      </c>
      <c r="M292" s="20">
        <f>IF(OR($A292="",I292="Pagado"),"",HYPERLINK("https://wa.me/"&amp;IF(INDEX('Préstamos'!$C$2:$C$101,MATCH($A292,'Préstamos'!$A$2:$A$101,0))="","","51"&amp;SUBSTITUTE(INDEX('Préstamos'!$C$2:$C$101,MATCH($A292,'Préstamos'!$A$2:$A$101,0))," ",""))&amp;"?text="&amp;SUBSTITUTE("Hola "&amp;B292&amp;", te recuerdo que tu cuota de S/ "&amp;H292&amp;IF(E292&lt;TODAY()," vencio el "," vence el ")&amp;TEXT(E292,"dd/mm")&amp;". Gracias!"," ","%20"),"WhatsApp"))</f>
        <v/>
      </c>
    </row>
    <row r="293">
      <c r="A293" s="14" t="n"/>
      <c r="B293" s="16">
        <f>IF($A293="","",INDEX('Préstamos'!$B$2:$B$101,MATCH($A293,'Préstamos'!$A$2:$A$101,0)))</f>
        <v/>
      </c>
      <c r="C293" s="14" t="n"/>
      <c r="D293" s="14" t="n"/>
      <c r="E293" s="33" t="n"/>
      <c r="F293" s="29">
        <f>IF($A293="","",IF(D293="Solo interés",0,IF(AND(D293&lt;&gt;"Solo interés",C293=INDEX('Préstamos'!$G$2:$G$101,MATCH($A293,'Préstamos'!$A$2:$A$101,0))),INDEX('Préstamos'!$D$2:$D$101,MATCH($A293,'Préstamos'!$A$2:$A$101,0))-INDEX('Préstamos'!$J$2:$J$101,MATCH($A293,'Préstamos'!$A$2:$A$101,0))*(INDEX('Préstamos'!$G$2:$G$101,MATCH($A293,'Préstamos'!$A$2:$A$101,0))-1),INDEX('Préstamos'!$J$2:$J$101,MATCH($A293,'Préstamos'!$A$2:$A$101,0)))))</f>
        <v/>
      </c>
      <c r="G293" s="29">
        <f>IF($A293="","",IF(AND(D293&lt;&gt;"Solo interés",C293=INDEX('Préstamos'!$G$2:$G$101,MATCH($A293,'Préstamos'!$A$2:$A$101,0))),INDEX('Préstamos'!$I$2:$I$101,MATCH($A293,'Préstamos'!$A$2:$A$101,0))-INDEX('Préstamos'!$K$2:$K$101,MATCH($A293,'Préstamos'!$A$2:$A$101,0))*(INDEX('Préstamos'!$G$2:$G$101,MATCH($A293,'Préstamos'!$A$2:$A$101,0))-1),INDEX('Préstamos'!$K$2:$K$101,MATCH($A293,'Préstamos'!$A$2:$A$101,0))))</f>
        <v/>
      </c>
      <c r="H293" s="29">
        <f>IF($A293="","",F293+G293)</f>
        <v/>
      </c>
      <c r="I293" s="14" t="n"/>
      <c r="J293" s="33" t="n"/>
      <c r="K293" s="16">
        <f>IF(OR($A293="",I293="Pagado"),"",MAX(0,TODAY()-E293))</f>
        <v/>
      </c>
      <c r="L293" s="16">
        <f>IF($A293="","",IF(I293="Pagado","Pagado",IF(E293&lt;TODAY(),"Atrasado",IF(E293&lt;=EOMONTH(TODAY(),0),"Este mes","Pendiente"))))</f>
        <v/>
      </c>
      <c r="M293" s="20">
        <f>IF(OR($A293="",I293="Pagado"),"",HYPERLINK("https://wa.me/"&amp;IF(INDEX('Préstamos'!$C$2:$C$101,MATCH($A293,'Préstamos'!$A$2:$A$101,0))="","","51"&amp;SUBSTITUTE(INDEX('Préstamos'!$C$2:$C$101,MATCH($A293,'Préstamos'!$A$2:$A$101,0))," ",""))&amp;"?text="&amp;SUBSTITUTE("Hola "&amp;B293&amp;", te recuerdo que tu cuota de S/ "&amp;H293&amp;IF(E293&lt;TODAY()," vencio el "," vence el ")&amp;TEXT(E293,"dd/mm")&amp;". Gracias!"," ","%20"),"WhatsApp"))</f>
        <v/>
      </c>
    </row>
    <row r="294">
      <c r="A294" s="14" t="n"/>
      <c r="B294" s="16">
        <f>IF($A294="","",INDEX('Préstamos'!$B$2:$B$101,MATCH($A294,'Préstamos'!$A$2:$A$101,0)))</f>
        <v/>
      </c>
      <c r="C294" s="14" t="n"/>
      <c r="D294" s="14" t="n"/>
      <c r="E294" s="33" t="n"/>
      <c r="F294" s="29">
        <f>IF($A294="","",IF(D294="Solo interés",0,IF(AND(D294&lt;&gt;"Solo interés",C294=INDEX('Préstamos'!$G$2:$G$101,MATCH($A294,'Préstamos'!$A$2:$A$101,0))),INDEX('Préstamos'!$D$2:$D$101,MATCH($A294,'Préstamos'!$A$2:$A$101,0))-INDEX('Préstamos'!$J$2:$J$101,MATCH($A294,'Préstamos'!$A$2:$A$101,0))*(INDEX('Préstamos'!$G$2:$G$101,MATCH($A294,'Préstamos'!$A$2:$A$101,0))-1),INDEX('Préstamos'!$J$2:$J$101,MATCH($A294,'Préstamos'!$A$2:$A$101,0)))))</f>
        <v/>
      </c>
      <c r="G294" s="29">
        <f>IF($A294="","",IF(AND(D294&lt;&gt;"Solo interés",C294=INDEX('Préstamos'!$G$2:$G$101,MATCH($A294,'Préstamos'!$A$2:$A$101,0))),INDEX('Préstamos'!$I$2:$I$101,MATCH($A294,'Préstamos'!$A$2:$A$101,0))-INDEX('Préstamos'!$K$2:$K$101,MATCH($A294,'Préstamos'!$A$2:$A$101,0))*(INDEX('Préstamos'!$G$2:$G$101,MATCH($A294,'Préstamos'!$A$2:$A$101,0))-1),INDEX('Préstamos'!$K$2:$K$101,MATCH($A294,'Préstamos'!$A$2:$A$101,0))))</f>
        <v/>
      </c>
      <c r="H294" s="29">
        <f>IF($A294="","",F294+G294)</f>
        <v/>
      </c>
      <c r="I294" s="14" t="n"/>
      <c r="J294" s="33" t="n"/>
      <c r="K294" s="16">
        <f>IF(OR($A294="",I294="Pagado"),"",MAX(0,TODAY()-E294))</f>
        <v/>
      </c>
      <c r="L294" s="16">
        <f>IF($A294="","",IF(I294="Pagado","Pagado",IF(E294&lt;TODAY(),"Atrasado",IF(E294&lt;=EOMONTH(TODAY(),0),"Este mes","Pendiente"))))</f>
        <v/>
      </c>
      <c r="M294" s="20">
        <f>IF(OR($A294="",I294="Pagado"),"",HYPERLINK("https://wa.me/"&amp;IF(INDEX('Préstamos'!$C$2:$C$101,MATCH($A294,'Préstamos'!$A$2:$A$101,0))="","","51"&amp;SUBSTITUTE(INDEX('Préstamos'!$C$2:$C$101,MATCH($A294,'Préstamos'!$A$2:$A$101,0))," ",""))&amp;"?text="&amp;SUBSTITUTE("Hola "&amp;B294&amp;", te recuerdo que tu cuota de S/ "&amp;H294&amp;IF(E294&lt;TODAY()," vencio el "," vence el ")&amp;TEXT(E294,"dd/mm")&amp;". Gracias!"," ","%20"),"WhatsApp"))</f>
        <v/>
      </c>
    </row>
    <row r="295">
      <c r="A295" s="14" t="n"/>
      <c r="B295" s="16">
        <f>IF($A295="","",INDEX('Préstamos'!$B$2:$B$101,MATCH($A295,'Préstamos'!$A$2:$A$101,0)))</f>
        <v/>
      </c>
      <c r="C295" s="14" t="n"/>
      <c r="D295" s="14" t="n"/>
      <c r="E295" s="33" t="n"/>
      <c r="F295" s="29">
        <f>IF($A295="","",IF(D295="Solo interés",0,IF(AND(D295&lt;&gt;"Solo interés",C295=INDEX('Préstamos'!$G$2:$G$101,MATCH($A295,'Préstamos'!$A$2:$A$101,0))),INDEX('Préstamos'!$D$2:$D$101,MATCH($A295,'Préstamos'!$A$2:$A$101,0))-INDEX('Préstamos'!$J$2:$J$101,MATCH($A295,'Préstamos'!$A$2:$A$101,0))*(INDEX('Préstamos'!$G$2:$G$101,MATCH($A295,'Préstamos'!$A$2:$A$101,0))-1),INDEX('Préstamos'!$J$2:$J$101,MATCH($A295,'Préstamos'!$A$2:$A$101,0)))))</f>
        <v/>
      </c>
      <c r="G295" s="29">
        <f>IF($A295="","",IF(AND(D295&lt;&gt;"Solo interés",C295=INDEX('Préstamos'!$G$2:$G$101,MATCH($A295,'Préstamos'!$A$2:$A$101,0))),INDEX('Préstamos'!$I$2:$I$101,MATCH($A295,'Préstamos'!$A$2:$A$101,0))-INDEX('Préstamos'!$K$2:$K$101,MATCH($A295,'Préstamos'!$A$2:$A$101,0))*(INDEX('Préstamos'!$G$2:$G$101,MATCH($A295,'Préstamos'!$A$2:$A$101,0))-1),INDEX('Préstamos'!$K$2:$K$101,MATCH($A295,'Préstamos'!$A$2:$A$101,0))))</f>
        <v/>
      </c>
      <c r="H295" s="29">
        <f>IF($A295="","",F295+G295)</f>
        <v/>
      </c>
      <c r="I295" s="14" t="n"/>
      <c r="J295" s="33" t="n"/>
      <c r="K295" s="16">
        <f>IF(OR($A295="",I295="Pagado"),"",MAX(0,TODAY()-E295))</f>
        <v/>
      </c>
      <c r="L295" s="16">
        <f>IF($A295="","",IF(I295="Pagado","Pagado",IF(E295&lt;TODAY(),"Atrasado",IF(E295&lt;=EOMONTH(TODAY(),0),"Este mes","Pendiente"))))</f>
        <v/>
      </c>
      <c r="M295" s="20">
        <f>IF(OR($A295="",I295="Pagado"),"",HYPERLINK("https://wa.me/"&amp;IF(INDEX('Préstamos'!$C$2:$C$101,MATCH($A295,'Préstamos'!$A$2:$A$101,0))="","","51"&amp;SUBSTITUTE(INDEX('Préstamos'!$C$2:$C$101,MATCH($A295,'Préstamos'!$A$2:$A$101,0))," ",""))&amp;"?text="&amp;SUBSTITUTE("Hola "&amp;B295&amp;", te recuerdo que tu cuota de S/ "&amp;H295&amp;IF(E295&lt;TODAY()," vencio el "," vence el ")&amp;TEXT(E295,"dd/mm")&amp;". Gracias!"," ","%20"),"WhatsApp"))</f>
        <v/>
      </c>
    </row>
    <row r="296">
      <c r="A296" s="14" t="n"/>
      <c r="B296" s="16">
        <f>IF($A296="","",INDEX('Préstamos'!$B$2:$B$101,MATCH($A296,'Préstamos'!$A$2:$A$101,0)))</f>
        <v/>
      </c>
      <c r="C296" s="14" t="n"/>
      <c r="D296" s="14" t="n"/>
      <c r="E296" s="33" t="n"/>
      <c r="F296" s="29">
        <f>IF($A296="","",IF(D296="Solo interés",0,IF(AND(D296&lt;&gt;"Solo interés",C296=INDEX('Préstamos'!$G$2:$G$101,MATCH($A296,'Préstamos'!$A$2:$A$101,0))),INDEX('Préstamos'!$D$2:$D$101,MATCH($A296,'Préstamos'!$A$2:$A$101,0))-INDEX('Préstamos'!$J$2:$J$101,MATCH($A296,'Préstamos'!$A$2:$A$101,0))*(INDEX('Préstamos'!$G$2:$G$101,MATCH($A296,'Préstamos'!$A$2:$A$101,0))-1),INDEX('Préstamos'!$J$2:$J$101,MATCH($A296,'Préstamos'!$A$2:$A$101,0)))))</f>
        <v/>
      </c>
      <c r="G296" s="29">
        <f>IF($A296="","",IF(AND(D296&lt;&gt;"Solo interés",C296=INDEX('Préstamos'!$G$2:$G$101,MATCH($A296,'Préstamos'!$A$2:$A$101,0))),INDEX('Préstamos'!$I$2:$I$101,MATCH($A296,'Préstamos'!$A$2:$A$101,0))-INDEX('Préstamos'!$K$2:$K$101,MATCH($A296,'Préstamos'!$A$2:$A$101,0))*(INDEX('Préstamos'!$G$2:$G$101,MATCH($A296,'Préstamos'!$A$2:$A$101,0))-1),INDEX('Préstamos'!$K$2:$K$101,MATCH($A296,'Préstamos'!$A$2:$A$101,0))))</f>
        <v/>
      </c>
      <c r="H296" s="29">
        <f>IF($A296="","",F296+G296)</f>
        <v/>
      </c>
      <c r="I296" s="14" t="n"/>
      <c r="J296" s="33" t="n"/>
      <c r="K296" s="16">
        <f>IF(OR($A296="",I296="Pagado"),"",MAX(0,TODAY()-E296))</f>
        <v/>
      </c>
      <c r="L296" s="16">
        <f>IF($A296="","",IF(I296="Pagado","Pagado",IF(E296&lt;TODAY(),"Atrasado",IF(E296&lt;=EOMONTH(TODAY(),0),"Este mes","Pendiente"))))</f>
        <v/>
      </c>
      <c r="M296" s="20">
        <f>IF(OR($A296="",I296="Pagado"),"",HYPERLINK("https://wa.me/"&amp;IF(INDEX('Préstamos'!$C$2:$C$101,MATCH($A296,'Préstamos'!$A$2:$A$101,0))="","","51"&amp;SUBSTITUTE(INDEX('Préstamos'!$C$2:$C$101,MATCH($A296,'Préstamos'!$A$2:$A$101,0))," ",""))&amp;"?text="&amp;SUBSTITUTE("Hola "&amp;B296&amp;", te recuerdo que tu cuota de S/ "&amp;H296&amp;IF(E296&lt;TODAY()," vencio el "," vence el ")&amp;TEXT(E296,"dd/mm")&amp;". Gracias!"," ","%20"),"WhatsApp"))</f>
        <v/>
      </c>
    </row>
    <row r="297">
      <c r="A297" s="14" t="n"/>
      <c r="B297" s="16">
        <f>IF($A297="","",INDEX('Préstamos'!$B$2:$B$101,MATCH($A297,'Préstamos'!$A$2:$A$101,0)))</f>
        <v/>
      </c>
      <c r="C297" s="14" t="n"/>
      <c r="D297" s="14" t="n"/>
      <c r="E297" s="33" t="n"/>
      <c r="F297" s="29">
        <f>IF($A297="","",IF(D297="Solo interés",0,IF(AND(D297&lt;&gt;"Solo interés",C297=INDEX('Préstamos'!$G$2:$G$101,MATCH($A297,'Préstamos'!$A$2:$A$101,0))),INDEX('Préstamos'!$D$2:$D$101,MATCH($A297,'Préstamos'!$A$2:$A$101,0))-INDEX('Préstamos'!$J$2:$J$101,MATCH($A297,'Préstamos'!$A$2:$A$101,0))*(INDEX('Préstamos'!$G$2:$G$101,MATCH($A297,'Préstamos'!$A$2:$A$101,0))-1),INDEX('Préstamos'!$J$2:$J$101,MATCH($A297,'Préstamos'!$A$2:$A$101,0)))))</f>
        <v/>
      </c>
      <c r="G297" s="29">
        <f>IF($A297="","",IF(AND(D297&lt;&gt;"Solo interés",C297=INDEX('Préstamos'!$G$2:$G$101,MATCH($A297,'Préstamos'!$A$2:$A$101,0))),INDEX('Préstamos'!$I$2:$I$101,MATCH($A297,'Préstamos'!$A$2:$A$101,0))-INDEX('Préstamos'!$K$2:$K$101,MATCH($A297,'Préstamos'!$A$2:$A$101,0))*(INDEX('Préstamos'!$G$2:$G$101,MATCH($A297,'Préstamos'!$A$2:$A$101,0))-1),INDEX('Préstamos'!$K$2:$K$101,MATCH($A297,'Préstamos'!$A$2:$A$101,0))))</f>
        <v/>
      </c>
      <c r="H297" s="29">
        <f>IF($A297="","",F297+G297)</f>
        <v/>
      </c>
      <c r="I297" s="14" t="n"/>
      <c r="J297" s="33" t="n"/>
      <c r="K297" s="16">
        <f>IF(OR($A297="",I297="Pagado"),"",MAX(0,TODAY()-E297))</f>
        <v/>
      </c>
      <c r="L297" s="16">
        <f>IF($A297="","",IF(I297="Pagado","Pagado",IF(E297&lt;TODAY(),"Atrasado",IF(E297&lt;=EOMONTH(TODAY(),0),"Este mes","Pendiente"))))</f>
        <v/>
      </c>
      <c r="M297" s="20">
        <f>IF(OR($A297="",I297="Pagado"),"",HYPERLINK("https://wa.me/"&amp;IF(INDEX('Préstamos'!$C$2:$C$101,MATCH($A297,'Préstamos'!$A$2:$A$101,0))="","","51"&amp;SUBSTITUTE(INDEX('Préstamos'!$C$2:$C$101,MATCH($A297,'Préstamos'!$A$2:$A$101,0))," ",""))&amp;"?text="&amp;SUBSTITUTE("Hola "&amp;B297&amp;", te recuerdo que tu cuota de S/ "&amp;H297&amp;IF(E297&lt;TODAY()," vencio el "," vence el ")&amp;TEXT(E297,"dd/mm")&amp;". Gracias!"," ","%20"),"WhatsApp"))</f>
        <v/>
      </c>
    </row>
    <row r="298">
      <c r="A298" s="14" t="n"/>
      <c r="B298" s="16">
        <f>IF($A298="","",INDEX('Préstamos'!$B$2:$B$101,MATCH($A298,'Préstamos'!$A$2:$A$101,0)))</f>
        <v/>
      </c>
      <c r="C298" s="14" t="n"/>
      <c r="D298" s="14" t="n"/>
      <c r="E298" s="33" t="n"/>
      <c r="F298" s="29">
        <f>IF($A298="","",IF(D298="Solo interés",0,IF(AND(D298&lt;&gt;"Solo interés",C298=INDEX('Préstamos'!$G$2:$G$101,MATCH($A298,'Préstamos'!$A$2:$A$101,0))),INDEX('Préstamos'!$D$2:$D$101,MATCH($A298,'Préstamos'!$A$2:$A$101,0))-INDEX('Préstamos'!$J$2:$J$101,MATCH($A298,'Préstamos'!$A$2:$A$101,0))*(INDEX('Préstamos'!$G$2:$G$101,MATCH($A298,'Préstamos'!$A$2:$A$101,0))-1),INDEX('Préstamos'!$J$2:$J$101,MATCH($A298,'Préstamos'!$A$2:$A$101,0)))))</f>
        <v/>
      </c>
      <c r="G298" s="29">
        <f>IF($A298="","",IF(AND(D298&lt;&gt;"Solo interés",C298=INDEX('Préstamos'!$G$2:$G$101,MATCH($A298,'Préstamos'!$A$2:$A$101,0))),INDEX('Préstamos'!$I$2:$I$101,MATCH($A298,'Préstamos'!$A$2:$A$101,0))-INDEX('Préstamos'!$K$2:$K$101,MATCH($A298,'Préstamos'!$A$2:$A$101,0))*(INDEX('Préstamos'!$G$2:$G$101,MATCH($A298,'Préstamos'!$A$2:$A$101,0))-1),INDEX('Préstamos'!$K$2:$K$101,MATCH($A298,'Préstamos'!$A$2:$A$101,0))))</f>
        <v/>
      </c>
      <c r="H298" s="29">
        <f>IF($A298="","",F298+G298)</f>
        <v/>
      </c>
      <c r="I298" s="14" t="n"/>
      <c r="J298" s="33" t="n"/>
      <c r="K298" s="16">
        <f>IF(OR($A298="",I298="Pagado"),"",MAX(0,TODAY()-E298))</f>
        <v/>
      </c>
      <c r="L298" s="16">
        <f>IF($A298="","",IF(I298="Pagado","Pagado",IF(E298&lt;TODAY(),"Atrasado",IF(E298&lt;=EOMONTH(TODAY(),0),"Este mes","Pendiente"))))</f>
        <v/>
      </c>
      <c r="M298" s="20">
        <f>IF(OR($A298="",I298="Pagado"),"",HYPERLINK("https://wa.me/"&amp;IF(INDEX('Préstamos'!$C$2:$C$101,MATCH($A298,'Préstamos'!$A$2:$A$101,0))="","","51"&amp;SUBSTITUTE(INDEX('Préstamos'!$C$2:$C$101,MATCH($A298,'Préstamos'!$A$2:$A$101,0))," ",""))&amp;"?text="&amp;SUBSTITUTE("Hola "&amp;B298&amp;", te recuerdo que tu cuota de S/ "&amp;H298&amp;IF(E298&lt;TODAY()," vencio el "," vence el ")&amp;TEXT(E298,"dd/mm")&amp;". Gracias!"," ","%20"),"WhatsApp"))</f>
        <v/>
      </c>
    </row>
    <row r="299">
      <c r="A299" s="14" t="n"/>
      <c r="B299" s="16">
        <f>IF($A299="","",INDEX('Préstamos'!$B$2:$B$101,MATCH($A299,'Préstamos'!$A$2:$A$101,0)))</f>
        <v/>
      </c>
      <c r="C299" s="14" t="n"/>
      <c r="D299" s="14" t="n"/>
      <c r="E299" s="33" t="n"/>
      <c r="F299" s="29">
        <f>IF($A299="","",IF(D299="Solo interés",0,IF(AND(D299&lt;&gt;"Solo interés",C299=INDEX('Préstamos'!$G$2:$G$101,MATCH($A299,'Préstamos'!$A$2:$A$101,0))),INDEX('Préstamos'!$D$2:$D$101,MATCH($A299,'Préstamos'!$A$2:$A$101,0))-INDEX('Préstamos'!$J$2:$J$101,MATCH($A299,'Préstamos'!$A$2:$A$101,0))*(INDEX('Préstamos'!$G$2:$G$101,MATCH($A299,'Préstamos'!$A$2:$A$101,0))-1),INDEX('Préstamos'!$J$2:$J$101,MATCH($A299,'Préstamos'!$A$2:$A$101,0)))))</f>
        <v/>
      </c>
      <c r="G299" s="29">
        <f>IF($A299="","",IF(AND(D299&lt;&gt;"Solo interés",C299=INDEX('Préstamos'!$G$2:$G$101,MATCH($A299,'Préstamos'!$A$2:$A$101,0))),INDEX('Préstamos'!$I$2:$I$101,MATCH($A299,'Préstamos'!$A$2:$A$101,0))-INDEX('Préstamos'!$K$2:$K$101,MATCH($A299,'Préstamos'!$A$2:$A$101,0))*(INDEX('Préstamos'!$G$2:$G$101,MATCH($A299,'Préstamos'!$A$2:$A$101,0))-1),INDEX('Préstamos'!$K$2:$K$101,MATCH($A299,'Préstamos'!$A$2:$A$101,0))))</f>
        <v/>
      </c>
      <c r="H299" s="29">
        <f>IF($A299="","",F299+G299)</f>
        <v/>
      </c>
      <c r="I299" s="14" t="n"/>
      <c r="J299" s="33" t="n"/>
      <c r="K299" s="16">
        <f>IF(OR($A299="",I299="Pagado"),"",MAX(0,TODAY()-E299))</f>
        <v/>
      </c>
      <c r="L299" s="16">
        <f>IF($A299="","",IF(I299="Pagado","Pagado",IF(E299&lt;TODAY(),"Atrasado",IF(E299&lt;=EOMONTH(TODAY(),0),"Este mes","Pendiente"))))</f>
        <v/>
      </c>
      <c r="M299" s="20">
        <f>IF(OR($A299="",I299="Pagado"),"",HYPERLINK("https://wa.me/"&amp;IF(INDEX('Préstamos'!$C$2:$C$101,MATCH($A299,'Préstamos'!$A$2:$A$101,0))="","","51"&amp;SUBSTITUTE(INDEX('Préstamos'!$C$2:$C$101,MATCH($A299,'Préstamos'!$A$2:$A$101,0))," ",""))&amp;"?text="&amp;SUBSTITUTE("Hola "&amp;B299&amp;", te recuerdo que tu cuota de S/ "&amp;H299&amp;IF(E299&lt;TODAY()," vencio el "," vence el ")&amp;TEXT(E299,"dd/mm")&amp;". Gracias!"," ","%20"),"WhatsApp"))</f>
        <v/>
      </c>
    </row>
    <row r="300">
      <c r="A300" s="14" t="n"/>
      <c r="B300" s="16">
        <f>IF($A300="","",INDEX('Préstamos'!$B$2:$B$101,MATCH($A300,'Préstamos'!$A$2:$A$101,0)))</f>
        <v/>
      </c>
      <c r="C300" s="14" t="n"/>
      <c r="D300" s="14" t="n"/>
      <c r="E300" s="33" t="n"/>
      <c r="F300" s="29">
        <f>IF($A300="","",IF(D300="Solo interés",0,IF(AND(D300&lt;&gt;"Solo interés",C300=INDEX('Préstamos'!$G$2:$G$101,MATCH($A300,'Préstamos'!$A$2:$A$101,0))),INDEX('Préstamos'!$D$2:$D$101,MATCH($A300,'Préstamos'!$A$2:$A$101,0))-INDEX('Préstamos'!$J$2:$J$101,MATCH($A300,'Préstamos'!$A$2:$A$101,0))*(INDEX('Préstamos'!$G$2:$G$101,MATCH($A300,'Préstamos'!$A$2:$A$101,0))-1),INDEX('Préstamos'!$J$2:$J$101,MATCH($A300,'Préstamos'!$A$2:$A$101,0)))))</f>
        <v/>
      </c>
      <c r="G300" s="29">
        <f>IF($A300="","",IF(AND(D300&lt;&gt;"Solo interés",C300=INDEX('Préstamos'!$G$2:$G$101,MATCH($A300,'Préstamos'!$A$2:$A$101,0))),INDEX('Préstamos'!$I$2:$I$101,MATCH($A300,'Préstamos'!$A$2:$A$101,0))-INDEX('Préstamos'!$K$2:$K$101,MATCH($A300,'Préstamos'!$A$2:$A$101,0))*(INDEX('Préstamos'!$G$2:$G$101,MATCH($A300,'Préstamos'!$A$2:$A$101,0))-1),INDEX('Préstamos'!$K$2:$K$101,MATCH($A300,'Préstamos'!$A$2:$A$101,0))))</f>
        <v/>
      </c>
      <c r="H300" s="29">
        <f>IF($A300="","",F300+G300)</f>
        <v/>
      </c>
      <c r="I300" s="14" t="n"/>
      <c r="J300" s="33" t="n"/>
      <c r="K300" s="16">
        <f>IF(OR($A300="",I300="Pagado"),"",MAX(0,TODAY()-E300))</f>
        <v/>
      </c>
      <c r="L300" s="16">
        <f>IF($A300="","",IF(I300="Pagado","Pagado",IF(E300&lt;TODAY(),"Atrasado",IF(E300&lt;=EOMONTH(TODAY(),0),"Este mes","Pendiente"))))</f>
        <v/>
      </c>
      <c r="M300" s="20">
        <f>IF(OR($A300="",I300="Pagado"),"",HYPERLINK("https://wa.me/"&amp;IF(INDEX('Préstamos'!$C$2:$C$101,MATCH($A300,'Préstamos'!$A$2:$A$101,0))="","","51"&amp;SUBSTITUTE(INDEX('Préstamos'!$C$2:$C$101,MATCH($A300,'Préstamos'!$A$2:$A$101,0))," ",""))&amp;"?text="&amp;SUBSTITUTE("Hola "&amp;B300&amp;", te recuerdo que tu cuota de S/ "&amp;H300&amp;IF(E300&lt;TODAY()," vencio el "," vence el ")&amp;TEXT(E300,"dd/mm")&amp;". Gracias!"," ","%20"),"WhatsApp"))</f>
        <v/>
      </c>
    </row>
    <row r="301">
      <c r="A301" s="14" t="n"/>
      <c r="B301" s="16">
        <f>IF($A301="","",INDEX('Préstamos'!$B$2:$B$101,MATCH($A301,'Préstamos'!$A$2:$A$101,0)))</f>
        <v/>
      </c>
      <c r="C301" s="14" t="n"/>
      <c r="D301" s="14" t="n"/>
      <c r="E301" s="33" t="n"/>
      <c r="F301" s="29">
        <f>IF($A301="","",IF(D301="Solo interés",0,IF(AND(D301&lt;&gt;"Solo interés",C301=INDEX('Préstamos'!$G$2:$G$101,MATCH($A301,'Préstamos'!$A$2:$A$101,0))),INDEX('Préstamos'!$D$2:$D$101,MATCH($A301,'Préstamos'!$A$2:$A$101,0))-INDEX('Préstamos'!$J$2:$J$101,MATCH($A301,'Préstamos'!$A$2:$A$101,0))*(INDEX('Préstamos'!$G$2:$G$101,MATCH($A301,'Préstamos'!$A$2:$A$101,0))-1),INDEX('Préstamos'!$J$2:$J$101,MATCH($A301,'Préstamos'!$A$2:$A$101,0)))))</f>
        <v/>
      </c>
      <c r="G301" s="29">
        <f>IF($A301="","",IF(AND(D301&lt;&gt;"Solo interés",C301=INDEX('Préstamos'!$G$2:$G$101,MATCH($A301,'Préstamos'!$A$2:$A$101,0))),INDEX('Préstamos'!$I$2:$I$101,MATCH($A301,'Préstamos'!$A$2:$A$101,0))-INDEX('Préstamos'!$K$2:$K$101,MATCH($A301,'Préstamos'!$A$2:$A$101,0))*(INDEX('Préstamos'!$G$2:$G$101,MATCH($A301,'Préstamos'!$A$2:$A$101,0))-1),INDEX('Préstamos'!$K$2:$K$101,MATCH($A301,'Préstamos'!$A$2:$A$101,0))))</f>
        <v/>
      </c>
      <c r="H301" s="29">
        <f>IF($A301="","",F301+G301)</f>
        <v/>
      </c>
      <c r="I301" s="14" t="n"/>
      <c r="J301" s="33" t="n"/>
      <c r="K301" s="16">
        <f>IF(OR($A301="",I301="Pagado"),"",MAX(0,TODAY()-E301))</f>
        <v/>
      </c>
      <c r="L301" s="16">
        <f>IF($A301="","",IF(I301="Pagado","Pagado",IF(E301&lt;TODAY(),"Atrasado",IF(E301&lt;=EOMONTH(TODAY(),0),"Este mes","Pendiente"))))</f>
        <v/>
      </c>
      <c r="M301" s="20">
        <f>IF(OR($A301="",I301="Pagado"),"",HYPERLINK("https://wa.me/"&amp;IF(INDEX('Préstamos'!$C$2:$C$101,MATCH($A301,'Préstamos'!$A$2:$A$101,0))="","","51"&amp;SUBSTITUTE(INDEX('Préstamos'!$C$2:$C$101,MATCH($A301,'Préstamos'!$A$2:$A$101,0))," ",""))&amp;"?text="&amp;SUBSTITUTE("Hola "&amp;B301&amp;", te recuerdo que tu cuota de S/ "&amp;H301&amp;IF(E301&lt;TODAY()," vencio el "," vence el ")&amp;TEXT(E301,"dd/mm")&amp;". Gracias!"," ","%20"),"WhatsApp"))</f>
        <v/>
      </c>
    </row>
    <row r="302">
      <c r="A302" s="14" t="n"/>
      <c r="B302" s="16">
        <f>IF($A302="","",INDEX('Préstamos'!$B$2:$B$101,MATCH($A302,'Préstamos'!$A$2:$A$101,0)))</f>
        <v/>
      </c>
      <c r="C302" s="14" t="n"/>
      <c r="D302" s="14" t="n"/>
      <c r="E302" s="33" t="n"/>
      <c r="F302" s="29">
        <f>IF($A302="","",IF(D302="Solo interés",0,IF(AND(D302&lt;&gt;"Solo interés",C302=INDEX('Préstamos'!$G$2:$G$101,MATCH($A302,'Préstamos'!$A$2:$A$101,0))),INDEX('Préstamos'!$D$2:$D$101,MATCH($A302,'Préstamos'!$A$2:$A$101,0))-INDEX('Préstamos'!$J$2:$J$101,MATCH($A302,'Préstamos'!$A$2:$A$101,0))*(INDEX('Préstamos'!$G$2:$G$101,MATCH($A302,'Préstamos'!$A$2:$A$101,0))-1),INDEX('Préstamos'!$J$2:$J$101,MATCH($A302,'Préstamos'!$A$2:$A$101,0)))))</f>
        <v/>
      </c>
      <c r="G302" s="29">
        <f>IF($A302="","",IF(AND(D302&lt;&gt;"Solo interés",C302=INDEX('Préstamos'!$G$2:$G$101,MATCH($A302,'Préstamos'!$A$2:$A$101,0))),INDEX('Préstamos'!$I$2:$I$101,MATCH($A302,'Préstamos'!$A$2:$A$101,0))-INDEX('Préstamos'!$K$2:$K$101,MATCH($A302,'Préstamos'!$A$2:$A$101,0))*(INDEX('Préstamos'!$G$2:$G$101,MATCH($A302,'Préstamos'!$A$2:$A$101,0))-1),INDEX('Préstamos'!$K$2:$K$101,MATCH($A302,'Préstamos'!$A$2:$A$101,0))))</f>
        <v/>
      </c>
      <c r="H302" s="29">
        <f>IF($A302="","",F302+G302)</f>
        <v/>
      </c>
      <c r="I302" s="14" t="n"/>
      <c r="J302" s="33" t="n"/>
      <c r="K302" s="16">
        <f>IF(OR($A302="",I302="Pagado"),"",MAX(0,TODAY()-E302))</f>
        <v/>
      </c>
      <c r="L302" s="16">
        <f>IF($A302="","",IF(I302="Pagado","Pagado",IF(E302&lt;TODAY(),"Atrasado",IF(E302&lt;=EOMONTH(TODAY(),0),"Este mes","Pendiente"))))</f>
        <v/>
      </c>
      <c r="M302" s="20">
        <f>IF(OR($A302="",I302="Pagado"),"",HYPERLINK("https://wa.me/"&amp;IF(INDEX('Préstamos'!$C$2:$C$101,MATCH($A302,'Préstamos'!$A$2:$A$101,0))="","","51"&amp;SUBSTITUTE(INDEX('Préstamos'!$C$2:$C$101,MATCH($A302,'Préstamos'!$A$2:$A$101,0))," ",""))&amp;"?text="&amp;SUBSTITUTE("Hola "&amp;B302&amp;", te recuerdo que tu cuota de S/ "&amp;H302&amp;IF(E302&lt;TODAY()," vencio el "," vence el ")&amp;TEXT(E302,"dd/mm")&amp;". Gracias!"," ","%20"),"WhatsApp"))</f>
        <v/>
      </c>
    </row>
    <row r="303">
      <c r="A303" s="14" t="n"/>
      <c r="B303" s="16">
        <f>IF($A303="","",INDEX('Préstamos'!$B$2:$B$101,MATCH($A303,'Préstamos'!$A$2:$A$101,0)))</f>
        <v/>
      </c>
      <c r="C303" s="14" t="n"/>
      <c r="D303" s="14" t="n"/>
      <c r="E303" s="33" t="n"/>
      <c r="F303" s="29">
        <f>IF($A303="","",IF(D303="Solo interés",0,IF(AND(D303&lt;&gt;"Solo interés",C303=INDEX('Préstamos'!$G$2:$G$101,MATCH($A303,'Préstamos'!$A$2:$A$101,0))),INDEX('Préstamos'!$D$2:$D$101,MATCH($A303,'Préstamos'!$A$2:$A$101,0))-INDEX('Préstamos'!$J$2:$J$101,MATCH($A303,'Préstamos'!$A$2:$A$101,0))*(INDEX('Préstamos'!$G$2:$G$101,MATCH($A303,'Préstamos'!$A$2:$A$101,0))-1),INDEX('Préstamos'!$J$2:$J$101,MATCH($A303,'Préstamos'!$A$2:$A$101,0)))))</f>
        <v/>
      </c>
      <c r="G303" s="29">
        <f>IF($A303="","",IF(AND(D303&lt;&gt;"Solo interés",C303=INDEX('Préstamos'!$G$2:$G$101,MATCH($A303,'Préstamos'!$A$2:$A$101,0))),INDEX('Préstamos'!$I$2:$I$101,MATCH($A303,'Préstamos'!$A$2:$A$101,0))-INDEX('Préstamos'!$K$2:$K$101,MATCH($A303,'Préstamos'!$A$2:$A$101,0))*(INDEX('Préstamos'!$G$2:$G$101,MATCH($A303,'Préstamos'!$A$2:$A$101,0))-1),INDEX('Préstamos'!$K$2:$K$101,MATCH($A303,'Préstamos'!$A$2:$A$101,0))))</f>
        <v/>
      </c>
      <c r="H303" s="29">
        <f>IF($A303="","",F303+G303)</f>
        <v/>
      </c>
      <c r="I303" s="14" t="n"/>
      <c r="J303" s="33" t="n"/>
      <c r="K303" s="16">
        <f>IF(OR($A303="",I303="Pagado"),"",MAX(0,TODAY()-E303))</f>
        <v/>
      </c>
      <c r="L303" s="16">
        <f>IF($A303="","",IF(I303="Pagado","Pagado",IF(E303&lt;TODAY(),"Atrasado",IF(E303&lt;=EOMONTH(TODAY(),0),"Este mes","Pendiente"))))</f>
        <v/>
      </c>
      <c r="M303" s="20">
        <f>IF(OR($A303="",I303="Pagado"),"",HYPERLINK("https://wa.me/"&amp;IF(INDEX('Préstamos'!$C$2:$C$101,MATCH($A303,'Préstamos'!$A$2:$A$101,0))="","","51"&amp;SUBSTITUTE(INDEX('Préstamos'!$C$2:$C$101,MATCH($A303,'Préstamos'!$A$2:$A$101,0))," ",""))&amp;"?text="&amp;SUBSTITUTE("Hola "&amp;B303&amp;", te recuerdo que tu cuota de S/ "&amp;H303&amp;IF(E303&lt;TODAY()," vencio el "," vence el ")&amp;TEXT(E303,"dd/mm")&amp;". Gracias!"," ","%20"),"WhatsApp"))</f>
        <v/>
      </c>
    </row>
    <row r="304">
      <c r="A304" s="14" t="n"/>
      <c r="B304" s="16">
        <f>IF($A304="","",INDEX('Préstamos'!$B$2:$B$101,MATCH($A304,'Préstamos'!$A$2:$A$101,0)))</f>
        <v/>
      </c>
      <c r="C304" s="14" t="n"/>
      <c r="D304" s="14" t="n"/>
      <c r="E304" s="33" t="n"/>
      <c r="F304" s="29">
        <f>IF($A304="","",IF(D304="Solo interés",0,IF(AND(D304&lt;&gt;"Solo interés",C304=INDEX('Préstamos'!$G$2:$G$101,MATCH($A304,'Préstamos'!$A$2:$A$101,0))),INDEX('Préstamos'!$D$2:$D$101,MATCH($A304,'Préstamos'!$A$2:$A$101,0))-INDEX('Préstamos'!$J$2:$J$101,MATCH($A304,'Préstamos'!$A$2:$A$101,0))*(INDEX('Préstamos'!$G$2:$G$101,MATCH($A304,'Préstamos'!$A$2:$A$101,0))-1),INDEX('Préstamos'!$J$2:$J$101,MATCH($A304,'Préstamos'!$A$2:$A$101,0)))))</f>
        <v/>
      </c>
      <c r="G304" s="29">
        <f>IF($A304="","",IF(AND(D304&lt;&gt;"Solo interés",C304=INDEX('Préstamos'!$G$2:$G$101,MATCH($A304,'Préstamos'!$A$2:$A$101,0))),INDEX('Préstamos'!$I$2:$I$101,MATCH($A304,'Préstamos'!$A$2:$A$101,0))-INDEX('Préstamos'!$K$2:$K$101,MATCH($A304,'Préstamos'!$A$2:$A$101,0))*(INDEX('Préstamos'!$G$2:$G$101,MATCH($A304,'Préstamos'!$A$2:$A$101,0))-1),INDEX('Préstamos'!$K$2:$K$101,MATCH($A304,'Préstamos'!$A$2:$A$101,0))))</f>
        <v/>
      </c>
      <c r="H304" s="29">
        <f>IF($A304="","",F304+G304)</f>
        <v/>
      </c>
      <c r="I304" s="14" t="n"/>
      <c r="J304" s="33" t="n"/>
      <c r="K304" s="16">
        <f>IF(OR($A304="",I304="Pagado"),"",MAX(0,TODAY()-E304))</f>
        <v/>
      </c>
      <c r="L304" s="16">
        <f>IF($A304="","",IF(I304="Pagado","Pagado",IF(E304&lt;TODAY(),"Atrasado",IF(E304&lt;=EOMONTH(TODAY(),0),"Este mes","Pendiente"))))</f>
        <v/>
      </c>
      <c r="M304" s="20">
        <f>IF(OR($A304="",I304="Pagado"),"",HYPERLINK("https://wa.me/"&amp;IF(INDEX('Préstamos'!$C$2:$C$101,MATCH($A304,'Préstamos'!$A$2:$A$101,0))="","","51"&amp;SUBSTITUTE(INDEX('Préstamos'!$C$2:$C$101,MATCH($A304,'Préstamos'!$A$2:$A$101,0))," ",""))&amp;"?text="&amp;SUBSTITUTE("Hola "&amp;B304&amp;", te recuerdo que tu cuota de S/ "&amp;H304&amp;IF(E304&lt;TODAY()," vencio el "," vence el ")&amp;TEXT(E304,"dd/mm")&amp;". Gracias!"," ","%20"),"WhatsApp"))</f>
        <v/>
      </c>
    </row>
    <row r="305">
      <c r="A305" s="14" t="n"/>
      <c r="B305" s="16">
        <f>IF($A305="","",INDEX('Préstamos'!$B$2:$B$101,MATCH($A305,'Préstamos'!$A$2:$A$101,0)))</f>
        <v/>
      </c>
      <c r="C305" s="14" t="n"/>
      <c r="D305" s="14" t="n"/>
      <c r="E305" s="33" t="n"/>
      <c r="F305" s="29">
        <f>IF($A305="","",IF(D305="Solo interés",0,IF(AND(D305&lt;&gt;"Solo interés",C305=INDEX('Préstamos'!$G$2:$G$101,MATCH($A305,'Préstamos'!$A$2:$A$101,0))),INDEX('Préstamos'!$D$2:$D$101,MATCH($A305,'Préstamos'!$A$2:$A$101,0))-INDEX('Préstamos'!$J$2:$J$101,MATCH($A305,'Préstamos'!$A$2:$A$101,0))*(INDEX('Préstamos'!$G$2:$G$101,MATCH($A305,'Préstamos'!$A$2:$A$101,0))-1),INDEX('Préstamos'!$J$2:$J$101,MATCH($A305,'Préstamos'!$A$2:$A$101,0)))))</f>
        <v/>
      </c>
      <c r="G305" s="29">
        <f>IF($A305="","",IF(AND(D305&lt;&gt;"Solo interés",C305=INDEX('Préstamos'!$G$2:$G$101,MATCH($A305,'Préstamos'!$A$2:$A$101,0))),INDEX('Préstamos'!$I$2:$I$101,MATCH($A305,'Préstamos'!$A$2:$A$101,0))-INDEX('Préstamos'!$K$2:$K$101,MATCH($A305,'Préstamos'!$A$2:$A$101,0))*(INDEX('Préstamos'!$G$2:$G$101,MATCH($A305,'Préstamos'!$A$2:$A$101,0))-1),INDEX('Préstamos'!$K$2:$K$101,MATCH($A305,'Préstamos'!$A$2:$A$101,0))))</f>
        <v/>
      </c>
      <c r="H305" s="29">
        <f>IF($A305="","",F305+G305)</f>
        <v/>
      </c>
      <c r="I305" s="14" t="n"/>
      <c r="J305" s="33" t="n"/>
      <c r="K305" s="16">
        <f>IF(OR($A305="",I305="Pagado"),"",MAX(0,TODAY()-E305))</f>
        <v/>
      </c>
      <c r="L305" s="16">
        <f>IF($A305="","",IF(I305="Pagado","Pagado",IF(E305&lt;TODAY(),"Atrasado",IF(E305&lt;=EOMONTH(TODAY(),0),"Este mes","Pendiente"))))</f>
        <v/>
      </c>
      <c r="M305" s="20">
        <f>IF(OR($A305="",I305="Pagado"),"",HYPERLINK("https://wa.me/"&amp;IF(INDEX('Préstamos'!$C$2:$C$101,MATCH($A305,'Préstamos'!$A$2:$A$101,0))="","","51"&amp;SUBSTITUTE(INDEX('Préstamos'!$C$2:$C$101,MATCH($A305,'Préstamos'!$A$2:$A$101,0))," ",""))&amp;"?text="&amp;SUBSTITUTE("Hola "&amp;B305&amp;", te recuerdo que tu cuota de S/ "&amp;H305&amp;IF(E305&lt;TODAY()," vencio el "," vence el ")&amp;TEXT(E305,"dd/mm")&amp;". Gracias!"," ","%20"),"WhatsApp"))</f>
        <v/>
      </c>
    </row>
    <row r="306">
      <c r="A306" s="14" t="n"/>
      <c r="B306" s="16">
        <f>IF($A306="","",INDEX('Préstamos'!$B$2:$B$101,MATCH($A306,'Préstamos'!$A$2:$A$101,0)))</f>
        <v/>
      </c>
      <c r="C306" s="14" t="n"/>
      <c r="D306" s="14" t="n"/>
      <c r="E306" s="33" t="n"/>
      <c r="F306" s="29">
        <f>IF($A306="","",IF(D306="Solo interés",0,IF(AND(D306&lt;&gt;"Solo interés",C306=INDEX('Préstamos'!$G$2:$G$101,MATCH($A306,'Préstamos'!$A$2:$A$101,0))),INDEX('Préstamos'!$D$2:$D$101,MATCH($A306,'Préstamos'!$A$2:$A$101,0))-INDEX('Préstamos'!$J$2:$J$101,MATCH($A306,'Préstamos'!$A$2:$A$101,0))*(INDEX('Préstamos'!$G$2:$G$101,MATCH($A306,'Préstamos'!$A$2:$A$101,0))-1),INDEX('Préstamos'!$J$2:$J$101,MATCH($A306,'Préstamos'!$A$2:$A$101,0)))))</f>
        <v/>
      </c>
      <c r="G306" s="29">
        <f>IF($A306="","",IF(AND(D306&lt;&gt;"Solo interés",C306=INDEX('Préstamos'!$G$2:$G$101,MATCH($A306,'Préstamos'!$A$2:$A$101,0))),INDEX('Préstamos'!$I$2:$I$101,MATCH($A306,'Préstamos'!$A$2:$A$101,0))-INDEX('Préstamos'!$K$2:$K$101,MATCH($A306,'Préstamos'!$A$2:$A$101,0))*(INDEX('Préstamos'!$G$2:$G$101,MATCH($A306,'Préstamos'!$A$2:$A$101,0))-1),INDEX('Préstamos'!$K$2:$K$101,MATCH($A306,'Préstamos'!$A$2:$A$101,0))))</f>
        <v/>
      </c>
      <c r="H306" s="29">
        <f>IF($A306="","",F306+G306)</f>
        <v/>
      </c>
      <c r="I306" s="14" t="n"/>
      <c r="J306" s="33" t="n"/>
      <c r="K306" s="16">
        <f>IF(OR($A306="",I306="Pagado"),"",MAX(0,TODAY()-E306))</f>
        <v/>
      </c>
      <c r="L306" s="16">
        <f>IF($A306="","",IF(I306="Pagado","Pagado",IF(E306&lt;TODAY(),"Atrasado",IF(E306&lt;=EOMONTH(TODAY(),0),"Este mes","Pendiente"))))</f>
        <v/>
      </c>
      <c r="M306" s="20">
        <f>IF(OR($A306="",I306="Pagado"),"",HYPERLINK("https://wa.me/"&amp;IF(INDEX('Préstamos'!$C$2:$C$101,MATCH($A306,'Préstamos'!$A$2:$A$101,0))="","","51"&amp;SUBSTITUTE(INDEX('Préstamos'!$C$2:$C$101,MATCH($A306,'Préstamos'!$A$2:$A$101,0))," ",""))&amp;"?text="&amp;SUBSTITUTE("Hola "&amp;B306&amp;", te recuerdo que tu cuota de S/ "&amp;H306&amp;IF(E306&lt;TODAY()," vencio el "," vence el ")&amp;TEXT(E306,"dd/mm")&amp;". Gracias!"," ","%20"),"WhatsApp"))</f>
        <v/>
      </c>
    </row>
    <row r="307">
      <c r="A307" s="14" t="n"/>
      <c r="B307" s="16">
        <f>IF($A307="","",INDEX('Préstamos'!$B$2:$B$101,MATCH($A307,'Préstamos'!$A$2:$A$101,0)))</f>
        <v/>
      </c>
      <c r="C307" s="14" t="n"/>
      <c r="D307" s="14" t="n"/>
      <c r="E307" s="33" t="n"/>
      <c r="F307" s="29">
        <f>IF($A307="","",IF(D307="Solo interés",0,IF(AND(D307&lt;&gt;"Solo interés",C307=INDEX('Préstamos'!$G$2:$G$101,MATCH($A307,'Préstamos'!$A$2:$A$101,0))),INDEX('Préstamos'!$D$2:$D$101,MATCH($A307,'Préstamos'!$A$2:$A$101,0))-INDEX('Préstamos'!$J$2:$J$101,MATCH($A307,'Préstamos'!$A$2:$A$101,0))*(INDEX('Préstamos'!$G$2:$G$101,MATCH($A307,'Préstamos'!$A$2:$A$101,0))-1),INDEX('Préstamos'!$J$2:$J$101,MATCH($A307,'Préstamos'!$A$2:$A$101,0)))))</f>
        <v/>
      </c>
      <c r="G307" s="29">
        <f>IF($A307="","",IF(AND(D307&lt;&gt;"Solo interés",C307=INDEX('Préstamos'!$G$2:$G$101,MATCH($A307,'Préstamos'!$A$2:$A$101,0))),INDEX('Préstamos'!$I$2:$I$101,MATCH($A307,'Préstamos'!$A$2:$A$101,0))-INDEX('Préstamos'!$K$2:$K$101,MATCH($A307,'Préstamos'!$A$2:$A$101,0))*(INDEX('Préstamos'!$G$2:$G$101,MATCH($A307,'Préstamos'!$A$2:$A$101,0))-1),INDEX('Préstamos'!$K$2:$K$101,MATCH($A307,'Préstamos'!$A$2:$A$101,0))))</f>
        <v/>
      </c>
      <c r="H307" s="29">
        <f>IF($A307="","",F307+G307)</f>
        <v/>
      </c>
      <c r="I307" s="14" t="n"/>
      <c r="J307" s="33" t="n"/>
      <c r="K307" s="16">
        <f>IF(OR($A307="",I307="Pagado"),"",MAX(0,TODAY()-E307))</f>
        <v/>
      </c>
      <c r="L307" s="16">
        <f>IF($A307="","",IF(I307="Pagado","Pagado",IF(E307&lt;TODAY(),"Atrasado",IF(E307&lt;=EOMONTH(TODAY(),0),"Este mes","Pendiente"))))</f>
        <v/>
      </c>
      <c r="M307" s="20">
        <f>IF(OR($A307="",I307="Pagado"),"",HYPERLINK("https://wa.me/"&amp;IF(INDEX('Préstamos'!$C$2:$C$101,MATCH($A307,'Préstamos'!$A$2:$A$101,0))="","","51"&amp;SUBSTITUTE(INDEX('Préstamos'!$C$2:$C$101,MATCH($A307,'Préstamos'!$A$2:$A$101,0))," ",""))&amp;"?text="&amp;SUBSTITUTE("Hola "&amp;B307&amp;", te recuerdo que tu cuota de S/ "&amp;H307&amp;IF(E307&lt;TODAY()," vencio el "," vence el ")&amp;TEXT(E307,"dd/mm")&amp;". Gracias!"," ","%20"),"WhatsApp"))</f>
        <v/>
      </c>
    </row>
    <row r="308">
      <c r="A308" s="14" t="n"/>
      <c r="B308" s="16">
        <f>IF($A308="","",INDEX('Préstamos'!$B$2:$B$101,MATCH($A308,'Préstamos'!$A$2:$A$101,0)))</f>
        <v/>
      </c>
      <c r="C308" s="14" t="n"/>
      <c r="D308" s="14" t="n"/>
      <c r="E308" s="33" t="n"/>
      <c r="F308" s="29">
        <f>IF($A308="","",IF(D308="Solo interés",0,IF(AND(D308&lt;&gt;"Solo interés",C308=INDEX('Préstamos'!$G$2:$G$101,MATCH($A308,'Préstamos'!$A$2:$A$101,0))),INDEX('Préstamos'!$D$2:$D$101,MATCH($A308,'Préstamos'!$A$2:$A$101,0))-INDEX('Préstamos'!$J$2:$J$101,MATCH($A308,'Préstamos'!$A$2:$A$101,0))*(INDEX('Préstamos'!$G$2:$G$101,MATCH($A308,'Préstamos'!$A$2:$A$101,0))-1),INDEX('Préstamos'!$J$2:$J$101,MATCH($A308,'Préstamos'!$A$2:$A$101,0)))))</f>
        <v/>
      </c>
      <c r="G308" s="29">
        <f>IF($A308="","",IF(AND(D308&lt;&gt;"Solo interés",C308=INDEX('Préstamos'!$G$2:$G$101,MATCH($A308,'Préstamos'!$A$2:$A$101,0))),INDEX('Préstamos'!$I$2:$I$101,MATCH($A308,'Préstamos'!$A$2:$A$101,0))-INDEX('Préstamos'!$K$2:$K$101,MATCH($A308,'Préstamos'!$A$2:$A$101,0))*(INDEX('Préstamos'!$G$2:$G$101,MATCH($A308,'Préstamos'!$A$2:$A$101,0))-1),INDEX('Préstamos'!$K$2:$K$101,MATCH($A308,'Préstamos'!$A$2:$A$101,0))))</f>
        <v/>
      </c>
      <c r="H308" s="29">
        <f>IF($A308="","",F308+G308)</f>
        <v/>
      </c>
      <c r="I308" s="14" t="n"/>
      <c r="J308" s="33" t="n"/>
      <c r="K308" s="16">
        <f>IF(OR($A308="",I308="Pagado"),"",MAX(0,TODAY()-E308))</f>
        <v/>
      </c>
      <c r="L308" s="16">
        <f>IF($A308="","",IF(I308="Pagado","Pagado",IF(E308&lt;TODAY(),"Atrasado",IF(E308&lt;=EOMONTH(TODAY(),0),"Este mes","Pendiente"))))</f>
        <v/>
      </c>
      <c r="M308" s="20">
        <f>IF(OR($A308="",I308="Pagado"),"",HYPERLINK("https://wa.me/"&amp;IF(INDEX('Préstamos'!$C$2:$C$101,MATCH($A308,'Préstamos'!$A$2:$A$101,0))="","","51"&amp;SUBSTITUTE(INDEX('Préstamos'!$C$2:$C$101,MATCH($A308,'Préstamos'!$A$2:$A$101,0))," ",""))&amp;"?text="&amp;SUBSTITUTE("Hola "&amp;B308&amp;", te recuerdo que tu cuota de S/ "&amp;H308&amp;IF(E308&lt;TODAY()," vencio el "," vence el ")&amp;TEXT(E308,"dd/mm")&amp;". Gracias!"," ","%20"),"WhatsApp"))</f>
        <v/>
      </c>
    </row>
    <row r="309">
      <c r="A309" s="14" t="n"/>
      <c r="B309" s="16">
        <f>IF($A309="","",INDEX('Préstamos'!$B$2:$B$101,MATCH($A309,'Préstamos'!$A$2:$A$101,0)))</f>
        <v/>
      </c>
      <c r="C309" s="14" t="n"/>
      <c r="D309" s="14" t="n"/>
      <c r="E309" s="33" t="n"/>
      <c r="F309" s="29">
        <f>IF($A309="","",IF(D309="Solo interés",0,IF(AND(D309&lt;&gt;"Solo interés",C309=INDEX('Préstamos'!$G$2:$G$101,MATCH($A309,'Préstamos'!$A$2:$A$101,0))),INDEX('Préstamos'!$D$2:$D$101,MATCH($A309,'Préstamos'!$A$2:$A$101,0))-INDEX('Préstamos'!$J$2:$J$101,MATCH($A309,'Préstamos'!$A$2:$A$101,0))*(INDEX('Préstamos'!$G$2:$G$101,MATCH($A309,'Préstamos'!$A$2:$A$101,0))-1),INDEX('Préstamos'!$J$2:$J$101,MATCH($A309,'Préstamos'!$A$2:$A$101,0)))))</f>
        <v/>
      </c>
      <c r="G309" s="29">
        <f>IF($A309="","",IF(AND(D309&lt;&gt;"Solo interés",C309=INDEX('Préstamos'!$G$2:$G$101,MATCH($A309,'Préstamos'!$A$2:$A$101,0))),INDEX('Préstamos'!$I$2:$I$101,MATCH($A309,'Préstamos'!$A$2:$A$101,0))-INDEX('Préstamos'!$K$2:$K$101,MATCH($A309,'Préstamos'!$A$2:$A$101,0))*(INDEX('Préstamos'!$G$2:$G$101,MATCH($A309,'Préstamos'!$A$2:$A$101,0))-1),INDEX('Préstamos'!$K$2:$K$101,MATCH($A309,'Préstamos'!$A$2:$A$101,0))))</f>
        <v/>
      </c>
      <c r="H309" s="29">
        <f>IF($A309="","",F309+G309)</f>
        <v/>
      </c>
      <c r="I309" s="14" t="n"/>
      <c r="J309" s="33" t="n"/>
      <c r="K309" s="16">
        <f>IF(OR($A309="",I309="Pagado"),"",MAX(0,TODAY()-E309))</f>
        <v/>
      </c>
      <c r="L309" s="16">
        <f>IF($A309="","",IF(I309="Pagado","Pagado",IF(E309&lt;TODAY(),"Atrasado",IF(E309&lt;=EOMONTH(TODAY(),0),"Este mes","Pendiente"))))</f>
        <v/>
      </c>
      <c r="M309" s="20">
        <f>IF(OR($A309="",I309="Pagado"),"",HYPERLINK("https://wa.me/"&amp;IF(INDEX('Préstamos'!$C$2:$C$101,MATCH($A309,'Préstamos'!$A$2:$A$101,0))="","","51"&amp;SUBSTITUTE(INDEX('Préstamos'!$C$2:$C$101,MATCH($A309,'Préstamos'!$A$2:$A$101,0))," ",""))&amp;"?text="&amp;SUBSTITUTE("Hola "&amp;B309&amp;", te recuerdo que tu cuota de S/ "&amp;H309&amp;IF(E309&lt;TODAY()," vencio el "," vence el ")&amp;TEXT(E309,"dd/mm")&amp;". Gracias!"," ","%20"),"WhatsApp"))</f>
        <v/>
      </c>
    </row>
    <row r="310">
      <c r="A310" s="14" t="n"/>
      <c r="B310" s="16">
        <f>IF($A310="","",INDEX('Préstamos'!$B$2:$B$101,MATCH($A310,'Préstamos'!$A$2:$A$101,0)))</f>
        <v/>
      </c>
      <c r="C310" s="14" t="n"/>
      <c r="D310" s="14" t="n"/>
      <c r="E310" s="33" t="n"/>
      <c r="F310" s="29">
        <f>IF($A310="","",IF(D310="Solo interés",0,IF(AND(D310&lt;&gt;"Solo interés",C310=INDEX('Préstamos'!$G$2:$G$101,MATCH($A310,'Préstamos'!$A$2:$A$101,0))),INDEX('Préstamos'!$D$2:$D$101,MATCH($A310,'Préstamos'!$A$2:$A$101,0))-INDEX('Préstamos'!$J$2:$J$101,MATCH($A310,'Préstamos'!$A$2:$A$101,0))*(INDEX('Préstamos'!$G$2:$G$101,MATCH($A310,'Préstamos'!$A$2:$A$101,0))-1),INDEX('Préstamos'!$J$2:$J$101,MATCH($A310,'Préstamos'!$A$2:$A$101,0)))))</f>
        <v/>
      </c>
      <c r="G310" s="29">
        <f>IF($A310="","",IF(AND(D310&lt;&gt;"Solo interés",C310=INDEX('Préstamos'!$G$2:$G$101,MATCH($A310,'Préstamos'!$A$2:$A$101,0))),INDEX('Préstamos'!$I$2:$I$101,MATCH($A310,'Préstamos'!$A$2:$A$101,0))-INDEX('Préstamos'!$K$2:$K$101,MATCH($A310,'Préstamos'!$A$2:$A$101,0))*(INDEX('Préstamos'!$G$2:$G$101,MATCH($A310,'Préstamos'!$A$2:$A$101,0))-1),INDEX('Préstamos'!$K$2:$K$101,MATCH($A310,'Préstamos'!$A$2:$A$101,0))))</f>
        <v/>
      </c>
      <c r="H310" s="29">
        <f>IF($A310="","",F310+G310)</f>
        <v/>
      </c>
      <c r="I310" s="14" t="n"/>
      <c r="J310" s="33" t="n"/>
      <c r="K310" s="16">
        <f>IF(OR($A310="",I310="Pagado"),"",MAX(0,TODAY()-E310))</f>
        <v/>
      </c>
      <c r="L310" s="16">
        <f>IF($A310="","",IF(I310="Pagado","Pagado",IF(E310&lt;TODAY(),"Atrasado",IF(E310&lt;=EOMONTH(TODAY(),0),"Este mes","Pendiente"))))</f>
        <v/>
      </c>
      <c r="M310" s="20">
        <f>IF(OR($A310="",I310="Pagado"),"",HYPERLINK("https://wa.me/"&amp;IF(INDEX('Préstamos'!$C$2:$C$101,MATCH($A310,'Préstamos'!$A$2:$A$101,0))="","","51"&amp;SUBSTITUTE(INDEX('Préstamos'!$C$2:$C$101,MATCH($A310,'Préstamos'!$A$2:$A$101,0))," ",""))&amp;"?text="&amp;SUBSTITUTE("Hola "&amp;B310&amp;", te recuerdo que tu cuota de S/ "&amp;H310&amp;IF(E310&lt;TODAY()," vencio el "," vence el ")&amp;TEXT(E310,"dd/mm")&amp;". Gracias!"," ","%20"),"WhatsApp"))</f>
        <v/>
      </c>
    </row>
    <row r="311">
      <c r="A311" s="14" t="n"/>
      <c r="B311" s="16">
        <f>IF($A311="","",INDEX('Préstamos'!$B$2:$B$101,MATCH($A311,'Préstamos'!$A$2:$A$101,0)))</f>
        <v/>
      </c>
      <c r="C311" s="14" t="n"/>
      <c r="D311" s="14" t="n"/>
      <c r="E311" s="33" t="n"/>
      <c r="F311" s="29">
        <f>IF($A311="","",IF(D311="Solo interés",0,IF(AND(D311&lt;&gt;"Solo interés",C311=INDEX('Préstamos'!$G$2:$G$101,MATCH($A311,'Préstamos'!$A$2:$A$101,0))),INDEX('Préstamos'!$D$2:$D$101,MATCH($A311,'Préstamos'!$A$2:$A$101,0))-INDEX('Préstamos'!$J$2:$J$101,MATCH($A311,'Préstamos'!$A$2:$A$101,0))*(INDEX('Préstamos'!$G$2:$G$101,MATCH($A311,'Préstamos'!$A$2:$A$101,0))-1),INDEX('Préstamos'!$J$2:$J$101,MATCH($A311,'Préstamos'!$A$2:$A$101,0)))))</f>
        <v/>
      </c>
      <c r="G311" s="29">
        <f>IF($A311="","",IF(AND(D311&lt;&gt;"Solo interés",C311=INDEX('Préstamos'!$G$2:$G$101,MATCH($A311,'Préstamos'!$A$2:$A$101,0))),INDEX('Préstamos'!$I$2:$I$101,MATCH($A311,'Préstamos'!$A$2:$A$101,0))-INDEX('Préstamos'!$K$2:$K$101,MATCH($A311,'Préstamos'!$A$2:$A$101,0))*(INDEX('Préstamos'!$G$2:$G$101,MATCH($A311,'Préstamos'!$A$2:$A$101,0))-1),INDEX('Préstamos'!$K$2:$K$101,MATCH($A311,'Préstamos'!$A$2:$A$101,0))))</f>
        <v/>
      </c>
      <c r="H311" s="29">
        <f>IF($A311="","",F311+G311)</f>
        <v/>
      </c>
      <c r="I311" s="14" t="n"/>
      <c r="J311" s="33" t="n"/>
      <c r="K311" s="16">
        <f>IF(OR($A311="",I311="Pagado"),"",MAX(0,TODAY()-E311))</f>
        <v/>
      </c>
      <c r="L311" s="16">
        <f>IF($A311="","",IF(I311="Pagado","Pagado",IF(E311&lt;TODAY(),"Atrasado",IF(E311&lt;=EOMONTH(TODAY(),0),"Este mes","Pendiente"))))</f>
        <v/>
      </c>
      <c r="M311" s="20">
        <f>IF(OR($A311="",I311="Pagado"),"",HYPERLINK("https://wa.me/"&amp;IF(INDEX('Préstamos'!$C$2:$C$101,MATCH($A311,'Préstamos'!$A$2:$A$101,0))="","","51"&amp;SUBSTITUTE(INDEX('Préstamos'!$C$2:$C$101,MATCH($A311,'Préstamos'!$A$2:$A$101,0))," ",""))&amp;"?text="&amp;SUBSTITUTE("Hola "&amp;B311&amp;", te recuerdo que tu cuota de S/ "&amp;H311&amp;IF(E311&lt;TODAY()," vencio el "," vence el ")&amp;TEXT(E311,"dd/mm")&amp;". Gracias!"," ","%20"),"WhatsApp"))</f>
        <v/>
      </c>
    </row>
    <row r="312">
      <c r="A312" s="14" t="n"/>
      <c r="B312" s="16">
        <f>IF($A312="","",INDEX('Préstamos'!$B$2:$B$101,MATCH($A312,'Préstamos'!$A$2:$A$101,0)))</f>
        <v/>
      </c>
      <c r="C312" s="14" t="n"/>
      <c r="D312" s="14" t="n"/>
      <c r="E312" s="33" t="n"/>
      <c r="F312" s="29">
        <f>IF($A312="","",IF(D312="Solo interés",0,IF(AND(D312&lt;&gt;"Solo interés",C312=INDEX('Préstamos'!$G$2:$G$101,MATCH($A312,'Préstamos'!$A$2:$A$101,0))),INDEX('Préstamos'!$D$2:$D$101,MATCH($A312,'Préstamos'!$A$2:$A$101,0))-INDEX('Préstamos'!$J$2:$J$101,MATCH($A312,'Préstamos'!$A$2:$A$101,0))*(INDEX('Préstamos'!$G$2:$G$101,MATCH($A312,'Préstamos'!$A$2:$A$101,0))-1),INDEX('Préstamos'!$J$2:$J$101,MATCH($A312,'Préstamos'!$A$2:$A$101,0)))))</f>
        <v/>
      </c>
      <c r="G312" s="29">
        <f>IF($A312="","",IF(AND(D312&lt;&gt;"Solo interés",C312=INDEX('Préstamos'!$G$2:$G$101,MATCH($A312,'Préstamos'!$A$2:$A$101,0))),INDEX('Préstamos'!$I$2:$I$101,MATCH($A312,'Préstamos'!$A$2:$A$101,0))-INDEX('Préstamos'!$K$2:$K$101,MATCH($A312,'Préstamos'!$A$2:$A$101,0))*(INDEX('Préstamos'!$G$2:$G$101,MATCH($A312,'Préstamos'!$A$2:$A$101,0))-1),INDEX('Préstamos'!$K$2:$K$101,MATCH($A312,'Préstamos'!$A$2:$A$101,0))))</f>
        <v/>
      </c>
      <c r="H312" s="29">
        <f>IF($A312="","",F312+G312)</f>
        <v/>
      </c>
      <c r="I312" s="14" t="n"/>
      <c r="J312" s="33" t="n"/>
      <c r="K312" s="16">
        <f>IF(OR($A312="",I312="Pagado"),"",MAX(0,TODAY()-E312))</f>
        <v/>
      </c>
      <c r="L312" s="16">
        <f>IF($A312="","",IF(I312="Pagado","Pagado",IF(E312&lt;TODAY(),"Atrasado",IF(E312&lt;=EOMONTH(TODAY(),0),"Este mes","Pendiente"))))</f>
        <v/>
      </c>
      <c r="M312" s="20">
        <f>IF(OR($A312="",I312="Pagado"),"",HYPERLINK("https://wa.me/"&amp;IF(INDEX('Préstamos'!$C$2:$C$101,MATCH($A312,'Préstamos'!$A$2:$A$101,0))="","","51"&amp;SUBSTITUTE(INDEX('Préstamos'!$C$2:$C$101,MATCH($A312,'Préstamos'!$A$2:$A$101,0))," ",""))&amp;"?text="&amp;SUBSTITUTE("Hola "&amp;B312&amp;", te recuerdo que tu cuota de S/ "&amp;H312&amp;IF(E312&lt;TODAY()," vencio el "," vence el ")&amp;TEXT(E312,"dd/mm")&amp;". Gracias!"," ","%20"),"WhatsApp"))</f>
        <v/>
      </c>
    </row>
    <row r="313">
      <c r="A313" s="14" t="n"/>
      <c r="B313" s="16">
        <f>IF($A313="","",INDEX('Préstamos'!$B$2:$B$101,MATCH($A313,'Préstamos'!$A$2:$A$101,0)))</f>
        <v/>
      </c>
      <c r="C313" s="14" t="n"/>
      <c r="D313" s="14" t="n"/>
      <c r="E313" s="33" t="n"/>
      <c r="F313" s="29">
        <f>IF($A313="","",IF(D313="Solo interés",0,IF(AND(D313&lt;&gt;"Solo interés",C313=INDEX('Préstamos'!$G$2:$G$101,MATCH($A313,'Préstamos'!$A$2:$A$101,0))),INDEX('Préstamos'!$D$2:$D$101,MATCH($A313,'Préstamos'!$A$2:$A$101,0))-INDEX('Préstamos'!$J$2:$J$101,MATCH($A313,'Préstamos'!$A$2:$A$101,0))*(INDEX('Préstamos'!$G$2:$G$101,MATCH($A313,'Préstamos'!$A$2:$A$101,0))-1),INDEX('Préstamos'!$J$2:$J$101,MATCH($A313,'Préstamos'!$A$2:$A$101,0)))))</f>
        <v/>
      </c>
      <c r="G313" s="29">
        <f>IF($A313="","",IF(AND(D313&lt;&gt;"Solo interés",C313=INDEX('Préstamos'!$G$2:$G$101,MATCH($A313,'Préstamos'!$A$2:$A$101,0))),INDEX('Préstamos'!$I$2:$I$101,MATCH($A313,'Préstamos'!$A$2:$A$101,0))-INDEX('Préstamos'!$K$2:$K$101,MATCH($A313,'Préstamos'!$A$2:$A$101,0))*(INDEX('Préstamos'!$G$2:$G$101,MATCH($A313,'Préstamos'!$A$2:$A$101,0))-1),INDEX('Préstamos'!$K$2:$K$101,MATCH($A313,'Préstamos'!$A$2:$A$101,0))))</f>
        <v/>
      </c>
      <c r="H313" s="29">
        <f>IF($A313="","",F313+G313)</f>
        <v/>
      </c>
      <c r="I313" s="14" t="n"/>
      <c r="J313" s="33" t="n"/>
      <c r="K313" s="16">
        <f>IF(OR($A313="",I313="Pagado"),"",MAX(0,TODAY()-E313))</f>
        <v/>
      </c>
      <c r="L313" s="16">
        <f>IF($A313="","",IF(I313="Pagado","Pagado",IF(E313&lt;TODAY(),"Atrasado",IF(E313&lt;=EOMONTH(TODAY(),0),"Este mes","Pendiente"))))</f>
        <v/>
      </c>
      <c r="M313" s="20">
        <f>IF(OR($A313="",I313="Pagado"),"",HYPERLINK("https://wa.me/"&amp;IF(INDEX('Préstamos'!$C$2:$C$101,MATCH($A313,'Préstamos'!$A$2:$A$101,0))="","","51"&amp;SUBSTITUTE(INDEX('Préstamos'!$C$2:$C$101,MATCH($A313,'Préstamos'!$A$2:$A$101,0))," ",""))&amp;"?text="&amp;SUBSTITUTE("Hola "&amp;B313&amp;", te recuerdo que tu cuota de S/ "&amp;H313&amp;IF(E313&lt;TODAY()," vencio el "," vence el ")&amp;TEXT(E313,"dd/mm")&amp;". Gracias!"," ","%20"),"WhatsApp"))</f>
        <v/>
      </c>
    </row>
    <row r="314">
      <c r="A314" s="14" t="n"/>
      <c r="B314" s="16">
        <f>IF($A314="","",INDEX('Préstamos'!$B$2:$B$101,MATCH($A314,'Préstamos'!$A$2:$A$101,0)))</f>
        <v/>
      </c>
      <c r="C314" s="14" t="n"/>
      <c r="D314" s="14" t="n"/>
      <c r="E314" s="33" t="n"/>
      <c r="F314" s="29">
        <f>IF($A314="","",IF(D314="Solo interés",0,IF(AND(D314&lt;&gt;"Solo interés",C314=INDEX('Préstamos'!$G$2:$G$101,MATCH($A314,'Préstamos'!$A$2:$A$101,0))),INDEX('Préstamos'!$D$2:$D$101,MATCH($A314,'Préstamos'!$A$2:$A$101,0))-INDEX('Préstamos'!$J$2:$J$101,MATCH($A314,'Préstamos'!$A$2:$A$101,0))*(INDEX('Préstamos'!$G$2:$G$101,MATCH($A314,'Préstamos'!$A$2:$A$101,0))-1),INDEX('Préstamos'!$J$2:$J$101,MATCH($A314,'Préstamos'!$A$2:$A$101,0)))))</f>
        <v/>
      </c>
      <c r="G314" s="29">
        <f>IF($A314="","",IF(AND(D314&lt;&gt;"Solo interés",C314=INDEX('Préstamos'!$G$2:$G$101,MATCH($A314,'Préstamos'!$A$2:$A$101,0))),INDEX('Préstamos'!$I$2:$I$101,MATCH($A314,'Préstamos'!$A$2:$A$101,0))-INDEX('Préstamos'!$K$2:$K$101,MATCH($A314,'Préstamos'!$A$2:$A$101,0))*(INDEX('Préstamos'!$G$2:$G$101,MATCH($A314,'Préstamos'!$A$2:$A$101,0))-1),INDEX('Préstamos'!$K$2:$K$101,MATCH($A314,'Préstamos'!$A$2:$A$101,0))))</f>
        <v/>
      </c>
      <c r="H314" s="29">
        <f>IF($A314="","",F314+G314)</f>
        <v/>
      </c>
      <c r="I314" s="14" t="n"/>
      <c r="J314" s="33" t="n"/>
      <c r="K314" s="16">
        <f>IF(OR($A314="",I314="Pagado"),"",MAX(0,TODAY()-E314))</f>
        <v/>
      </c>
      <c r="L314" s="16">
        <f>IF($A314="","",IF(I314="Pagado","Pagado",IF(E314&lt;TODAY(),"Atrasado",IF(E314&lt;=EOMONTH(TODAY(),0),"Este mes","Pendiente"))))</f>
        <v/>
      </c>
      <c r="M314" s="20">
        <f>IF(OR($A314="",I314="Pagado"),"",HYPERLINK("https://wa.me/"&amp;IF(INDEX('Préstamos'!$C$2:$C$101,MATCH($A314,'Préstamos'!$A$2:$A$101,0))="","","51"&amp;SUBSTITUTE(INDEX('Préstamos'!$C$2:$C$101,MATCH($A314,'Préstamos'!$A$2:$A$101,0))," ",""))&amp;"?text="&amp;SUBSTITUTE("Hola "&amp;B314&amp;", te recuerdo que tu cuota de S/ "&amp;H314&amp;IF(E314&lt;TODAY()," vencio el "," vence el ")&amp;TEXT(E314,"dd/mm")&amp;". Gracias!"," ","%20"),"WhatsApp"))</f>
        <v/>
      </c>
    </row>
    <row r="315">
      <c r="A315" s="14" t="n"/>
      <c r="B315" s="16">
        <f>IF($A315="","",INDEX('Préstamos'!$B$2:$B$101,MATCH($A315,'Préstamos'!$A$2:$A$101,0)))</f>
        <v/>
      </c>
      <c r="C315" s="14" t="n"/>
      <c r="D315" s="14" t="n"/>
      <c r="E315" s="33" t="n"/>
      <c r="F315" s="29">
        <f>IF($A315="","",IF(D315="Solo interés",0,IF(AND(D315&lt;&gt;"Solo interés",C315=INDEX('Préstamos'!$G$2:$G$101,MATCH($A315,'Préstamos'!$A$2:$A$101,0))),INDEX('Préstamos'!$D$2:$D$101,MATCH($A315,'Préstamos'!$A$2:$A$101,0))-INDEX('Préstamos'!$J$2:$J$101,MATCH($A315,'Préstamos'!$A$2:$A$101,0))*(INDEX('Préstamos'!$G$2:$G$101,MATCH($A315,'Préstamos'!$A$2:$A$101,0))-1),INDEX('Préstamos'!$J$2:$J$101,MATCH($A315,'Préstamos'!$A$2:$A$101,0)))))</f>
        <v/>
      </c>
      <c r="G315" s="29">
        <f>IF($A315="","",IF(AND(D315&lt;&gt;"Solo interés",C315=INDEX('Préstamos'!$G$2:$G$101,MATCH($A315,'Préstamos'!$A$2:$A$101,0))),INDEX('Préstamos'!$I$2:$I$101,MATCH($A315,'Préstamos'!$A$2:$A$101,0))-INDEX('Préstamos'!$K$2:$K$101,MATCH($A315,'Préstamos'!$A$2:$A$101,0))*(INDEX('Préstamos'!$G$2:$G$101,MATCH($A315,'Préstamos'!$A$2:$A$101,0))-1),INDEX('Préstamos'!$K$2:$K$101,MATCH($A315,'Préstamos'!$A$2:$A$101,0))))</f>
        <v/>
      </c>
      <c r="H315" s="29">
        <f>IF($A315="","",F315+G315)</f>
        <v/>
      </c>
      <c r="I315" s="14" t="n"/>
      <c r="J315" s="33" t="n"/>
      <c r="K315" s="16">
        <f>IF(OR($A315="",I315="Pagado"),"",MAX(0,TODAY()-E315))</f>
        <v/>
      </c>
      <c r="L315" s="16">
        <f>IF($A315="","",IF(I315="Pagado","Pagado",IF(E315&lt;TODAY(),"Atrasado",IF(E315&lt;=EOMONTH(TODAY(),0),"Este mes","Pendiente"))))</f>
        <v/>
      </c>
      <c r="M315" s="20">
        <f>IF(OR($A315="",I315="Pagado"),"",HYPERLINK("https://wa.me/"&amp;IF(INDEX('Préstamos'!$C$2:$C$101,MATCH($A315,'Préstamos'!$A$2:$A$101,0))="","","51"&amp;SUBSTITUTE(INDEX('Préstamos'!$C$2:$C$101,MATCH($A315,'Préstamos'!$A$2:$A$101,0))," ",""))&amp;"?text="&amp;SUBSTITUTE("Hola "&amp;B315&amp;", te recuerdo que tu cuota de S/ "&amp;H315&amp;IF(E315&lt;TODAY()," vencio el "," vence el ")&amp;TEXT(E315,"dd/mm")&amp;". Gracias!"," ","%20"),"WhatsApp"))</f>
        <v/>
      </c>
    </row>
    <row r="316">
      <c r="A316" s="14" t="n"/>
      <c r="B316" s="16">
        <f>IF($A316="","",INDEX('Préstamos'!$B$2:$B$101,MATCH($A316,'Préstamos'!$A$2:$A$101,0)))</f>
        <v/>
      </c>
      <c r="C316" s="14" t="n"/>
      <c r="D316" s="14" t="n"/>
      <c r="E316" s="33" t="n"/>
      <c r="F316" s="29">
        <f>IF($A316="","",IF(D316="Solo interés",0,IF(AND(D316&lt;&gt;"Solo interés",C316=INDEX('Préstamos'!$G$2:$G$101,MATCH($A316,'Préstamos'!$A$2:$A$101,0))),INDEX('Préstamos'!$D$2:$D$101,MATCH($A316,'Préstamos'!$A$2:$A$101,0))-INDEX('Préstamos'!$J$2:$J$101,MATCH($A316,'Préstamos'!$A$2:$A$101,0))*(INDEX('Préstamos'!$G$2:$G$101,MATCH($A316,'Préstamos'!$A$2:$A$101,0))-1),INDEX('Préstamos'!$J$2:$J$101,MATCH($A316,'Préstamos'!$A$2:$A$101,0)))))</f>
        <v/>
      </c>
      <c r="G316" s="29">
        <f>IF($A316="","",IF(AND(D316&lt;&gt;"Solo interés",C316=INDEX('Préstamos'!$G$2:$G$101,MATCH($A316,'Préstamos'!$A$2:$A$101,0))),INDEX('Préstamos'!$I$2:$I$101,MATCH($A316,'Préstamos'!$A$2:$A$101,0))-INDEX('Préstamos'!$K$2:$K$101,MATCH($A316,'Préstamos'!$A$2:$A$101,0))*(INDEX('Préstamos'!$G$2:$G$101,MATCH($A316,'Préstamos'!$A$2:$A$101,0))-1),INDEX('Préstamos'!$K$2:$K$101,MATCH($A316,'Préstamos'!$A$2:$A$101,0))))</f>
        <v/>
      </c>
      <c r="H316" s="29">
        <f>IF($A316="","",F316+G316)</f>
        <v/>
      </c>
      <c r="I316" s="14" t="n"/>
      <c r="J316" s="33" t="n"/>
      <c r="K316" s="16">
        <f>IF(OR($A316="",I316="Pagado"),"",MAX(0,TODAY()-E316))</f>
        <v/>
      </c>
      <c r="L316" s="16">
        <f>IF($A316="","",IF(I316="Pagado","Pagado",IF(E316&lt;TODAY(),"Atrasado",IF(E316&lt;=EOMONTH(TODAY(),0),"Este mes","Pendiente"))))</f>
        <v/>
      </c>
      <c r="M316" s="20">
        <f>IF(OR($A316="",I316="Pagado"),"",HYPERLINK("https://wa.me/"&amp;IF(INDEX('Préstamos'!$C$2:$C$101,MATCH($A316,'Préstamos'!$A$2:$A$101,0))="","","51"&amp;SUBSTITUTE(INDEX('Préstamos'!$C$2:$C$101,MATCH($A316,'Préstamos'!$A$2:$A$101,0))," ",""))&amp;"?text="&amp;SUBSTITUTE("Hola "&amp;B316&amp;", te recuerdo que tu cuota de S/ "&amp;H316&amp;IF(E316&lt;TODAY()," vencio el "," vence el ")&amp;TEXT(E316,"dd/mm")&amp;". Gracias!"," ","%20"),"WhatsApp"))</f>
        <v/>
      </c>
    </row>
    <row r="317">
      <c r="A317" s="14" t="n"/>
      <c r="B317" s="16">
        <f>IF($A317="","",INDEX('Préstamos'!$B$2:$B$101,MATCH($A317,'Préstamos'!$A$2:$A$101,0)))</f>
        <v/>
      </c>
      <c r="C317" s="14" t="n"/>
      <c r="D317" s="14" t="n"/>
      <c r="E317" s="33" t="n"/>
      <c r="F317" s="29">
        <f>IF($A317="","",IF(D317="Solo interés",0,IF(AND(D317&lt;&gt;"Solo interés",C317=INDEX('Préstamos'!$G$2:$G$101,MATCH($A317,'Préstamos'!$A$2:$A$101,0))),INDEX('Préstamos'!$D$2:$D$101,MATCH($A317,'Préstamos'!$A$2:$A$101,0))-INDEX('Préstamos'!$J$2:$J$101,MATCH($A317,'Préstamos'!$A$2:$A$101,0))*(INDEX('Préstamos'!$G$2:$G$101,MATCH($A317,'Préstamos'!$A$2:$A$101,0))-1),INDEX('Préstamos'!$J$2:$J$101,MATCH($A317,'Préstamos'!$A$2:$A$101,0)))))</f>
        <v/>
      </c>
      <c r="G317" s="29">
        <f>IF($A317="","",IF(AND(D317&lt;&gt;"Solo interés",C317=INDEX('Préstamos'!$G$2:$G$101,MATCH($A317,'Préstamos'!$A$2:$A$101,0))),INDEX('Préstamos'!$I$2:$I$101,MATCH($A317,'Préstamos'!$A$2:$A$101,0))-INDEX('Préstamos'!$K$2:$K$101,MATCH($A317,'Préstamos'!$A$2:$A$101,0))*(INDEX('Préstamos'!$G$2:$G$101,MATCH($A317,'Préstamos'!$A$2:$A$101,0))-1),INDEX('Préstamos'!$K$2:$K$101,MATCH($A317,'Préstamos'!$A$2:$A$101,0))))</f>
        <v/>
      </c>
      <c r="H317" s="29">
        <f>IF($A317="","",F317+G317)</f>
        <v/>
      </c>
      <c r="I317" s="14" t="n"/>
      <c r="J317" s="33" t="n"/>
      <c r="K317" s="16">
        <f>IF(OR($A317="",I317="Pagado"),"",MAX(0,TODAY()-E317))</f>
        <v/>
      </c>
      <c r="L317" s="16">
        <f>IF($A317="","",IF(I317="Pagado","Pagado",IF(E317&lt;TODAY(),"Atrasado",IF(E317&lt;=EOMONTH(TODAY(),0),"Este mes","Pendiente"))))</f>
        <v/>
      </c>
      <c r="M317" s="20">
        <f>IF(OR($A317="",I317="Pagado"),"",HYPERLINK("https://wa.me/"&amp;IF(INDEX('Préstamos'!$C$2:$C$101,MATCH($A317,'Préstamos'!$A$2:$A$101,0))="","","51"&amp;SUBSTITUTE(INDEX('Préstamos'!$C$2:$C$101,MATCH($A317,'Préstamos'!$A$2:$A$101,0))," ",""))&amp;"?text="&amp;SUBSTITUTE("Hola "&amp;B317&amp;", te recuerdo que tu cuota de S/ "&amp;H317&amp;IF(E317&lt;TODAY()," vencio el "," vence el ")&amp;TEXT(E317,"dd/mm")&amp;". Gracias!"," ","%20"),"WhatsApp"))</f>
        <v/>
      </c>
    </row>
    <row r="318">
      <c r="A318" s="14" t="n"/>
      <c r="B318" s="16">
        <f>IF($A318="","",INDEX('Préstamos'!$B$2:$B$101,MATCH($A318,'Préstamos'!$A$2:$A$101,0)))</f>
        <v/>
      </c>
      <c r="C318" s="14" t="n"/>
      <c r="D318" s="14" t="n"/>
      <c r="E318" s="33" t="n"/>
      <c r="F318" s="29">
        <f>IF($A318="","",IF(D318="Solo interés",0,IF(AND(D318&lt;&gt;"Solo interés",C318=INDEX('Préstamos'!$G$2:$G$101,MATCH($A318,'Préstamos'!$A$2:$A$101,0))),INDEX('Préstamos'!$D$2:$D$101,MATCH($A318,'Préstamos'!$A$2:$A$101,0))-INDEX('Préstamos'!$J$2:$J$101,MATCH($A318,'Préstamos'!$A$2:$A$101,0))*(INDEX('Préstamos'!$G$2:$G$101,MATCH($A318,'Préstamos'!$A$2:$A$101,0))-1),INDEX('Préstamos'!$J$2:$J$101,MATCH($A318,'Préstamos'!$A$2:$A$101,0)))))</f>
        <v/>
      </c>
      <c r="G318" s="29">
        <f>IF($A318="","",IF(AND(D318&lt;&gt;"Solo interés",C318=INDEX('Préstamos'!$G$2:$G$101,MATCH($A318,'Préstamos'!$A$2:$A$101,0))),INDEX('Préstamos'!$I$2:$I$101,MATCH($A318,'Préstamos'!$A$2:$A$101,0))-INDEX('Préstamos'!$K$2:$K$101,MATCH($A318,'Préstamos'!$A$2:$A$101,0))*(INDEX('Préstamos'!$G$2:$G$101,MATCH($A318,'Préstamos'!$A$2:$A$101,0))-1),INDEX('Préstamos'!$K$2:$K$101,MATCH($A318,'Préstamos'!$A$2:$A$101,0))))</f>
        <v/>
      </c>
      <c r="H318" s="29">
        <f>IF($A318="","",F318+G318)</f>
        <v/>
      </c>
      <c r="I318" s="14" t="n"/>
      <c r="J318" s="33" t="n"/>
      <c r="K318" s="16">
        <f>IF(OR($A318="",I318="Pagado"),"",MAX(0,TODAY()-E318))</f>
        <v/>
      </c>
      <c r="L318" s="16">
        <f>IF($A318="","",IF(I318="Pagado","Pagado",IF(E318&lt;TODAY(),"Atrasado",IF(E318&lt;=EOMONTH(TODAY(),0),"Este mes","Pendiente"))))</f>
        <v/>
      </c>
      <c r="M318" s="20">
        <f>IF(OR($A318="",I318="Pagado"),"",HYPERLINK("https://wa.me/"&amp;IF(INDEX('Préstamos'!$C$2:$C$101,MATCH($A318,'Préstamos'!$A$2:$A$101,0))="","","51"&amp;SUBSTITUTE(INDEX('Préstamos'!$C$2:$C$101,MATCH($A318,'Préstamos'!$A$2:$A$101,0))," ",""))&amp;"?text="&amp;SUBSTITUTE("Hola "&amp;B318&amp;", te recuerdo que tu cuota de S/ "&amp;H318&amp;IF(E318&lt;TODAY()," vencio el "," vence el ")&amp;TEXT(E318,"dd/mm")&amp;". Gracias!"," ","%20"),"WhatsApp"))</f>
        <v/>
      </c>
    </row>
    <row r="319">
      <c r="A319" s="14" t="n"/>
      <c r="B319" s="16">
        <f>IF($A319="","",INDEX('Préstamos'!$B$2:$B$101,MATCH($A319,'Préstamos'!$A$2:$A$101,0)))</f>
        <v/>
      </c>
      <c r="C319" s="14" t="n"/>
      <c r="D319" s="14" t="n"/>
      <c r="E319" s="33" t="n"/>
      <c r="F319" s="29">
        <f>IF($A319="","",IF(D319="Solo interés",0,IF(AND(D319&lt;&gt;"Solo interés",C319=INDEX('Préstamos'!$G$2:$G$101,MATCH($A319,'Préstamos'!$A$2:$A$101,0))),INDEX('Préstamos'!$D$2:$D$101,MATCH($A319,'Préstamos'!$A$2:$A$101,0))-INDEX('Préstamos'!$J$2:$J$101,MATCH($A319,'Préstamos'!$A$2:$A$101,0))*(INDEX('Préstamos'!$G$2:$G$101,MATCH($A319,'Préstamos'!$A$2:$A$101,0))-1),INDEX('Préstamos'!$J$2:$J$101,MATCH($A319,'Préstamos'!$A$2:$A$101,0)))))</f>
        <v/>
      </c>
      <c r="G319" s="29">
        <f>IF($A319="","",IF(AND(D319&lt;&gt;"Solo interés",C319=INDEX('Préstamos'!$G$2:$G$101,MATCH($A319,'Préstamos'!$A$2:$A$101,0))),INDEX('Préstamos'!$I$2:$I$101,MATCH($A319,'Préstamos'!$A$2:$A$101,0))-INDEX('Préstamos'!$K$2:$K$101,MATCH($A319,'Préstamos'!$A$2:$A$101,0))*(INDEX('Préstamos'!$G$2:$G$101,MATCH($A319,'Préstamos'!$A$2:$A$101,0))-1),INDEX('Préstamos'!$K$2:$K$101,MATCH($A319,'Préstamos'!$A$2:$A$101,0))))</f>
        <v/>
      </c>
      <c r="H319" s="29">
        <f>IF($A319="","",F319+G319)</f>
        <v/>
      </c>
      <c r="I319" s="14" t="n"/>
      <c r="J319" s="33" t="n"/>
      <c r="K319" s="16">
        <f>IF(OR($A319="",I319="Pagado"),"",MAX(0,TODAY()-E319))</f>
        <v/>
      </c>
      <c r="L319" s="16">
        <f>IF($A319="","",IF(I319="Pagado","Pagado",IF(E319&lt;TODAY(),"Atrasado",IF(E319&lt;=EOMONTH(TODAY(),0),"Este mes","Pendiente"))))</f>
        <v/>
      </c>
      <c r="M319" s="20">
        <f>IF(OR($A319="",I319="Pagado"),"",HYPERLINK("https://wa.me/"&amp;IF(INDEX('Préstamos'!$C$2:$C$101,MATCH($A319,'Préstamos'!$A$2:$A$101,0))="","","51"&amp;SUBSTITUTE(INDEX('Préstamos'!$C$2:$C$101,MATCH($A319,'Préstamos'!$A$2:$A$101,0))," ",""))&amp;"?text="&amp;SUBSTITUTE("Hola "&amp;B319&amp;", te recuerdo que tu cuota de S/ "&amp;H319&amp;IF(E319&lt;TODAY()," vencio el "," vence el ")&amp;TEXT(E319,"dd/mm")&amp;". Gracias!"," ","%20"),"WhatsApp"))</f>
        <v/>
      </c>
    </row>
    <row r="320">
      <c r="A320" s="14" t="n"/>
      <c r="B320" s="16">
        <f>IF($A320="","",INDEX('Préstamos'!$B$2:$B$101,MATCH($A320,'Préstamos'!$A$2:$A$101,0)))</f>
        <v/>
      </c>
      <c r="C320" s="14" t="n"/>
      <c r="D320" s="14" t="n"/>
      <c r="E320" s="33" t="n"/>
      <c r="F320" s="29">
        <f>IF($A320="","",IF(D320="Solo interés",0,IF(AND(D320&lt;&gt;"Solo interés",C320=INDEX('Préstamos'!$G$2:$G$101,MATCH($A320,'Préstamos'!$A$2:$A$101,0))),INDEX('Préstamos'!$D$2:$D$101,MATCH($A320,'Préstamos'!$A$2:$A$101,0))-INDEX('Préstamos'!$J$2:$J$101,MATCH($A320,'Préstamos'!$A$2:$A$101,0))*(INDEX('Préstamos'!$G$2:$G$101,MATCH($A320,'Préstamos'!$A$2:$A$101,0))-1),INDEX('Préstamos'!$J$2:$J$101,MATCH($A320,'Préstamos'!$A$2:$A$101,0)))))</f>
        <v/>
      </c>
      <c r="G320" s="29">
        <f>IF($A320="","",IF(AND(D320&lt;&gt;"Solo interés",C320=INDEX('Préstamos'!$G$2:$G$101,MATCH($A320,'Préstamos'!$A$2:$A$101,0))),INDEX('Préstamos'!$I$2:$I$101,MATCH($A320,'Préstamos'!$A$2:$A$101,0))-INDEX('Préstamos'!$K$2:$K$101,MATCH($A320,'Préstamos'!$A$2:$A$101,0))*(INDEX('Préstamos'!$G$2:$G$101,MATCH($A320,'Préstamos'!$A$2:$A$101,0))-1),INDEX('Préstamos'!$K$2:$K$101,MATCH($A320,'Préstamos'!$A$2:$A$101,0))))</f>
        <v/>
      </c>
      <c r="H320" s="29">
        <f>IF($A320="","",F320+G320)</f>
        <v/>
      </c>
      <c r="I320" s="14" t="n"/>
      <c r="J320" s="33" t="n"/>
      <c r="K320" s="16">
        <f>IF(OR($A320="",I320="Pagado"),"",MAX(0,TODAY()-E320))</f>
        <v/>
      </c>
      <c r="L320" s="16">
        <f>IF($A320="","",IF(I320="Pagado","Pagado",IF(E320&lt;TODAY(),"Atrasado",IF(E320&lt;=EOMONTH(TODAY(),0),"Este mes","Pendiente"))))</f>
        <v/>
      </c>
      <c r="M320" s="20">
        <f>IF(OR($A320="",I320="Pagado"),"",HYPERLINK("https://wa.me/"&amp;IF(INDEX('Préstamos'!$C$2:$C$101,MATCH($A320,'Préstamos'!$A$2:$A$101,0))="","","51"&amp;SUBSTITUTE(INDEX('Préstamos'!$C$2:$C$101,MATCH($A320,'Préstamos'!$A$2:$A$101,0))," ",""))&amp;"?text="&amp;SUBSTITUTE("Hola "&amp;B320&amp;", te recuerdo que tu cuota de S/ "&amp;H320&amp;IF(E320&lt;TODAY()," vencio el "," vence el ")&amp;TEXT(E320,"dd/mm")&amp;". Gracias!"," ","%20"),"WhatsApp"))</f>
        <v/>
      </c>
    </row>
    <row r="321">
      <c r="A321" s="14" t="n"/>
      <c r="B321" s="16">
        <f>IF($A321="","",INDEX('Préstamos'!$B$2:$B$101,MATCH($A321,'Préstamos'!$A$2:$A$101,0)))</f>
        <v/>
      </c>
      <c r="C321" s="14" t="n"/>
      <c r="D321" s="14" t="n"/>
      <c r="E321" s="33" t="n"/>
      <c r="F321" s="29">
        <f>IF($A321="","",IF(D321="Solo interés",0,IF(AND(D321&lt;&gt;"Solo interés",C321=INDEX('Préstamos'!$G$2:$G$101,MATCH($A321,'Préstamos'!$A$2:$A$101,0))),INDEX('Préstamos'!$D$2:$D$101,MATCH($A321,'Préstamos'!$A$2:$A$101,0))-INDEX('Préstamos'!$J$2:$J$101,MATCH($A321,'Préstamos'!$A$2:$A$101,0))*(INDEX('Préstamos'!$G$2:$G$101,MATCH($A321,'Préstamos'!$A$2:$A$101,0))-1),INDEX('Préstamos'!$J$2:$J$101,MATCH($A321,'Préstamos'!$A$2:$A$101,0)))))</f>
        <v/>
      </c>
      <c r="G321" s="29">
        <f>IF($A321="","",IF(AND(D321&lt;&gt;"Solo interés",C321=INDEX('Préstamos'!$G$2:$G$101,MATCH($A321,'Préstamos'!$A$2:$A$101,0))),INDEX('Préstamos'!$I$2:$I$101,MATCH($A321,'Préstamos'!$A$2:$A$101,0))-INDEX('Préstamos'!$K$2:$K$101,MATCH($A321,'Préstamos'!$A$2:$A$101,0))*(INDEX('Préstamos'!$G$2:$G$101,MATCH($A321,'Préstamos'!$A$2:$A$101,0))-1),INDEX('Préstamos'!$K$2:$K$101,MATCH($A321,'Préstamos'!$A$2:$A$101,0))))</f>
        <v/>
      </c>
      <c r="H321" s="29">
        <f>IF($A321="","",F321+G321)</f>
        <v/>
      </c>
      <c r="I321" s="14" t="n"/>
      <c r="J321" s="33" t="n"/>
      <c r="K321" s="16">
        <f>IF(OR($A321="",I321="Pagado"),"",MAX(0,TODAY()-E321))</f>
        <v/>
      </c>
      <c r="L321" s="16">
        <f>IF($A321="","",IF(I321="Pagado","Pagado",IF(E321&lt;TODAY(),"Atrasado",IF(E321&lt;=EOMONTH(TODAY(),0),"Este mes","Pendiente"))))</f>
        <v/>
      </c>
      <c r="M321" s="20">
        <f>IF(OR($A321="",I321="Pagado"),"",HYPERLINK("https://wa.me/"&amp;IF(INDEX('Préstamos'!$C$2:$C$101,MATCH($A321,'Préstamos'!$A$2:$A$101,0))="","","51"&amp;SUBSTITUTE(INDEX('Préstamos'!$C$2:$C$101,MATCH($A321,'Préstamos'!$A$2:$A$101,0))," ",""))&amp;"?text="&amp;SUBSTITUTE("Hola "&amp;B321&amp;", te recuerdo que tu cuota de S/ "&amp;H321&amp;IF(E321&lt;TODAY()," vencio el "," vence el ")&amp;TEXT(E321,"dd/mm")&amp;". Gracias!"," ","%20"),"WhatsApp"))</f>
        <v/>
      </c>
    </row>
    <row r="322">
      <c r="A322" s="14" t="n"/>
      <c r="B322" s="16">
        <f>IF($A322="","",INDEX('Préstamos'!$B$2:$B$101,MATCH($A322,'Préstamos'!$A$2:$A$101,0)))</f>
        <v/>
      </c>
      <c r="C322" s="14" t="n"/>
      <c r="D322" s="14" t="n"/>
      <c r="E322" s="33" t="n"/>
      <c r="F322" s="29">
        <f>IF($A322="","",IF(D322="Solo interés",0,IF(AND(D322&lt;&gt;"Solo interés",C322=INDEX('Préstamos'!$G$2:$G$101,MATCH($A322,'Préstamos'!$A$2:$A$101,0))),INDEX('Préstamos'!$D$2:$D$101,MATCH($A322,'Préstamos'!$A$2:$A$101,0))-INDEX('Préstamos'!$J$2:$J$101,MATCH($A322,'Préstamos'!$A$2:$A$101,0))*(INDEX('Préstamos'!$G$2:$G$101,MATCH($A322,'Préstamos'!$A$2:$A$101,0))-1),INDEX('Préstamos'!$J$2:$J$101,MATCH($A322,'Préstamos'!$A$2:$A$101,0)))))</f>
        <v/>
      </c>
      <c r="G322" s="29">
        <f>IF($A322="","",IF(AND(D322&lt;&gt;"Solo interés",C322=INDEX('Préstamos'!$G$2:$G$101,MATCH($A322,'Préstamos'!$A$2:$A$101,0))),INDEX('Préstamos'!$I$2:$I$101,MATCH($A322,'Préstamos'!$A$2:$A$101,0))-INDEX('Préstamos'!$K$2:$K$101,MATCH($A322,'Préstamos'!$A$2:$A$101,0))*(INDEX('Préstamos'!$G$2:$G$101,MATCH($A322,'Préstamos'!$A$2:$A$101,0))-1),INDEX('Préstamos'!$K$2:$K$101,MATCH($A322,'Préstamos'!$A$2:$A$101,0))))</f>
        <v/>
      </c>
      <c r="H322" s="29">
        <f>IF($A322="","",F322+G322)</f>
        <v/>
      </c>
      <c r="I322" s="14" t="n"/>
      <c r="J322" s="33" t="n"/>
      <c r="K322" s="16">
        <f>IF(OR($A322="",I322="Pagado"),"",MAX(0,TODAY()-E322))</f>
        <v/>
      </c>
      <c r="L322" s="16">
        <f>IF($A322="","",IF(I322="Pagado","Pagado",IF(E322&lt;TODAY(),"Atrasado",IF(E322&lt;=EOMONTH(TODAY(),0),"Este mes","Pendiente"))))</f>
        <v/>
      </c>
      <c r="M322" s="20">
        <f>IF(OR($A322="",I322="Pagado"),"",HYPERLINK("https://wa.me/"&amp;IF(INDEX('Préstamos'!$C$2:$C$101,MATCH($A322,'Préstamos'!$A$2:$A$101,0))="","","51"&amp;SUBSTITUTE(INDEX('Préstamos'!$C$2:$C$101,MATCH($A322,'Préstamos'!$A$2:$A$101,0))," ",""))&amp;"?text="&amp;SUBSTITUTE("Hola "&amp;B322&amp;", te recuerdo que tu cuota de S/ "&amp;H322&amp;IF(E322&lt;TODAY()," vencio el "," vence el ")&amp;TEXT(E322,"dd/mm")&amp;". Gracias!"," ","%20"),"WhatsApp"))</f>
        <v/>
      </c>
    </row>
    <row r="323">
      <c r="A323" s="14" t="n"/>
      <c r="B323" s="16">
        <f>IF($A323="","",INDEX('Préstamos'!$B$2:$B$101,MATCH($A323,'Préstamos'!$A$2:$A$101,0)))</f>
        <v/>
      </c>
      <c r="C323" s="14" t="n"/>
      <c r="D323" s="14" t="n"/>
      <c r="E323" s="33" t="n"/>
      <c r="F323" s="29">
        <f>IF($A323="","",IF(D323="Solo interés",0,IF(AND(D323&lt;&gt;"Solo interés",C323=INDEX('Préstamos'!$G$2:$G$101,MATCH($A323,'Préstamos'!$A$2:$A$101,0))),INDEX('Préstamos'!$D$2:$D$101,MATCH($A323,'Préstamos'!$A$2:$A$101,0))-INDEX('Préstamos'!$J$2:$J$101,MATCH($A323,'Préstamos'!$A$2:$A$101,0))*(INDEX('Préstamos'!$G$2:$G$101,MATCH($A323,'Préstamos'!$A$2:$A$101,0))-1),INDEX('Préstamos'!$J$2:$J$101,MATCH($A323,'Préstamos'!$A$2:$A$101,0)))))</f>
        <v/>
      </c>
      <c r="G323" s="29">
        <f>IF($A323="","",IF(AND(D323&lt;&gt;"Solo interés",C323=INDEX('Préstamos'!$G$2:$G$101,MATCH($A323,'Préstamos'!$A$2:$A$101,0))),INDEX('Préstamos'!$I$2:$I$101,MATCH($A323,'Préstamos'!$A$2:$A$101,0))-INDEX('Préstamos'!$K$2:$K$101,MATCH($A323,'Préstamos'!$A$2:$A$101,0))*(INDEX('Préstamos'!$G$2:$G$101,MATCH($A323,'Préstamos'!$A$2:$A$101,0))-1),INDEX('Préstamos'!$K$2:$K$101,MATCH($A323,'Préstamos'!$A$2:$A$101,0))))</f>
        <v/>
      </c>
      <c r="H323" s="29">
        <f>IF($A323="","",F323+G323)</f>
        <v/>
      </c>
      <c r="I323" s="14" t="n"/>
      <c r="J323" s="33" t="n"/>
      <c r="K323" s="16">
        <f>IF(OR($A323="",I323="Pagado"),"",MAX(0,TODAY()-E323))</f>
        <v/>
      </c>
      <c r="L323" s="16">
        <f>IF($A323="","",IF(I323="Pagado","Pagado",IF(E323&lt;TODAY(),"Atrasado",IF(E323&lt;=EOMONTH(TODAY(),0),"Este mes","Pendiente"))))</f>
        <v/>
      </c>
      <c r="M323" s="20">
        <f>IF(OR($A323="",I323="Pagado"),"",HYPERLINK("https://wa.me/"&amp;IF(INDEX('Préstamos'!$C$2:$C$101,MATCH($A323,'Préstamos'!$A$2:$A$101,0))="","","51"&amp;SUBSTITUTE(INDEX('Préstamos'!$C$2:$C$101,MATCH($A323,'Préstamos'!$A$2:$A$101,0))," ",""))&amp;"?text="&amp;SUBSTITUTE("Hola "&amp;B323&amp;", te recuerdo que tu cuota de S/ "&amp;H323&amp;IF(E323&lt;TODAY()," vencio el "," vence el ")&amp;TEXT(E323,"dd/mm")&amp;". Gracias!"," ","%20"),"WhatsApp"))</f>
        <v/>
      </c>
    </row>
    <row r="324">
      <c r="A324" s="14" t="n"/>
      <c r="B324" s="16">
        <f>IF($A324="","",INDEX('Préstamos'!$B$2:$B$101,MATCH($A324,'Préstamos'!$A$2:$A$101,0)))</f>
        <v/>
      </c>
      <c r="C324" s="14" t="n"/>
      <c r="D324" s="14" t="n"/>
      <c r="E324" s="33" t="n"/>
      <c r="F324" s="29">
        <f>IF($A324="","",IF(D324="Solo interés",0,IF(AND(D324&lt;&gt;"Solo interés",C324=INDEX('Préstamos'!$G$2:$G$101,MATCH($A324,'Préstamos'!$A$2:$A$101,0))),INDEX('Préstamos'!$D$2:$D$101,MATCH($A324,'Préstamos'!$A$2:$A$101,0))-INDEX('Préstamos'!$J$2:$J$101,MATCH($A324,'Préstamos'!$A$2:$A$101,0))*(INDEX('Préstamos'!$G$2:$G$101,MATCH($A324,'Préstamos'!$A$2:$A$101,0))-1),INDEX('Préstamos'!$J$2:$J$101,MATCH($A324,'Préstamos'!$A$2:$A$101,0)))))</f>
        <v/>
      </c>
      <c r="G324" s="29">
        <f>IF($A324="","",IF(AND(D324&lt;&gt;"Solo interés",C324=INDEX('Préstamos'!$G$2:$G$101,MATCH($A324,'Préstamos'!$A$2:$A$101,0))),INDEX('Préstamos'!$I$2:$I$101,MATCH($A324,'Préstamos'!$A$2:$A$101,0))-INDEX('Préstamos'!$K$2:$K$101,MATCH($A324,'Préstamos'!$A$2:$A$101,0))*(INDEX('Préstamos'!$G$2:$G$101,MATCH($A324,'Préstamos'!$A$2:$A$101,0))-1),INDEX('Préstamos'!$K$2:$K$101,MATCH($A324,'Préstamos'!$A$2:$A$101,0))))</f>
        <v/>
      </c>
      <c r="H324" s="29">
        <f>IF($A324="","",F324+G324)</f>
        <v/>
      </c>
      <c r="I324" s="14" t="n"/>
      <c r="J324" s="33" t="n"/>
      <c r="K324" s="16">
        <f>IF(OR($A324="",I324="Pagado"),"",MAX(0,TODAY()-E324))</f>
        <v/>
      </c>
      <c r="L324" s="16">
        <f>IF($A324="","",IF(I324="Pagado","Pagado",IF(E324&lt;TODAY(),"Atrasado",IF(E324&lt;=EOMONTH(TODAY(),0),"Este mes","Pendiente"))))</f>
        <v/>
      </c>
      <c r="M324" s="20">
        <f>IF(OR($A324="",I324="Pagado"),"",HYPERLINK("https://wa.me/"&amp;IF(INDEX('Préstamos'!$C$2:$C$101,MATCH($A324,'Préstamos'!$A$2:$A$101,0))="","","51"&amp;SUBSTITUTE(INDEX('Préstamos'!$C$2:$C$101,MATCH($A324,'Préstamos'!$A$2:$A$101,0))," ",""))&amp;"?text="&amp;SUBSTITUTE("Hola "&amp;B324&amp;", te recuerdo que tu cuota de S/ "&amp;H324&amp;IF(E324&lt;TODAY()," vencio el "," vence el ")&amp;TEXT(E324,"dd/mm")&amp;". Gracias!"," ","%20"),"WhatsApp"))</f>
        <v/>
      </c>
    </row>
    <row r="325">
      <c r="A325" s="14" t="n"/>
      <c r="B325" s="16">
        <f>IF($A325="","",INDEX('Préstamos'!$B$2:$B$101,MATCH($A325,'Préstamos'!$A$2:$A$101,0)))</f>
        <v/>
      </c>
      <c r="C325" s="14" t="n"/>
      <c r="D325" s="14" t="n"/>
      <c r="E325" s="33" t="n"/>
      <c r="F325" s="29">
        <f>IF($A325="","",IF(D325="Solo interés",0,IF(AND(D325&lt;&gt;"Solo interés",C325=INDEX('Préstamos'!$G$2:$G$101,MATCH($A325,'Préstamos'!$A$2:$A$101,0))),INDEX('Préstamos'!$D$2:$D$101,MATCH($A325,'Préstamos'!$A$2:$A$101,0))-INDEX('Préstamos'!$J$2:$J$101,MATCH($A325,'Préstamos'!$A$2:$A$101,0))*(INDEX('Préstamos'!$G$2:$G$101,MATCH($A325,'Préstamos'!$A$2:$A$101,0))-1),INDEX('Préstamos'!$J$2:$J$101,MATCH($A325,'Préstamos'!$A$2:$A$101,0)))))</f>
        <v/>
      </c>
      <c r="G325" s="29">
        <f>IF($A325="","",IF(AND(D325&lt;&gt;"Solo interés",C325=INDEX('Préstamos'!$G$2:$G$101,MATCH($A325,'Préstamos'!$A$2:$A$101,0))),INDEX('Préstamos'!$I$2:$I$101,MATCH($A325,'Préstamos'!$A$2:$A$101,0))-INDEX('Préstamos'!$K$2:$K$101,MATCH($A325,'Préstamos'!$A$2:$A$101,0))*(INDEX('Préstamos'!$G$2:$G$101,MATCH($A325,'Préstamos'!$A$2:$A$101,0))-1),INDEX('Préstamos'!$K$2:$K$101,MATCH($A325,'Préstamos'!$A$2:$A$101,0))))</f>
        <v/>
      </c>
      <c r="H325" s="29">
        <f>IF($A325="","",F325+G325)</f>
        <v/>
      </c>
      <c r="I325" s="14" t="n"/>
      <c r="J325" s="33" t="n"/>
      <c r="K325" s="16">
        <f>IF(OR($A325="",I325="Pagado"),"",MAX(0,TODAY()-E325))</f>
        <v/>
      </c>
      <c r="L325" s="16">
        <f>IF($A325="","",IF(I325="Pagado","Pagado",IF(E325&lt;TODAY(),"Atrasado",IF(E325&lt;=EOMONTH(TODAY(),0),"Este mes","Pendiente"))))</f>
        <v/>
      </c>
      <c r="M325" s="20">
        <f>IF(OR($A325="",I325="Pagado"),"",HYPERLINK("https://wa.me/"&amp;IF(INDEX('Préstamos'!$C$2:$C$101,MATCH($A325,'Préstamos'!$A$2:$A$101,0))="","","51"&amp;SUBSTITUTE(INDEX('Préstamos'!$C$2:$C$101,MATCH($A325,'Préstamos'!$A$2:$A$101,0))," ",""))&amp;"?text="&amp;SUBSTITUTE("Hola "&amp;B325&amp;", te recuerdo que tu cuota de S/ "&amp;H325&amp;IF(E325&lt;TODAY()," vencio el "," vence el ")&amp;TEXT(E325,"dd/mm")&amp;". Gracias!"," ","%20"),"WhatsApp"))</f>
        <v/>
      </c>
    </row>
    <row r="326">
      <c r="A326" s="14" t="n"/>
      <c r="B326" s="16">
        <f>IF($A326="","",INDEX('Préstamos'!$B$2:$B$101,MATCH($A326,'Préstamos'!$A$2:$A$101,0)))</f>
        <v/>
      </c>
      <c r="C326" s="14" t="n"/>
      <c r="D326" s="14" t="n"/>
      <c r="E326" s="33" t="n"/>
      <c r="F326" s="29">
        <f>IF($A326="","",IF(D326="Solo interés",0,IF(AND(D326&lt;&gt;"Solo interés",C326=INDEX('Préstamos'!$G$2:$G$101,MATCH($A326,'Préstamos'!$A$2:$A$101,0))),INDEX('Préstamos'!$D$2:$D$101,MATCH($A326,'Préstamos'!$A$2:$A$101,0))-INDEX('Préstamos'!$J$2:$J$101,MATCH($A326,'Préstamos'!$A$2:$A$101,0))*(INDEX('Préstamos'!$G$2:$G$101,MATCH($A326,'Préstamos'!$A$2:$A$101,0))-1),INDEX('Préstamos'!$J$2:$J$101,MATCH($A326,'Préstamos'!$A$2:$A$101,0)))))</f>
        <v/>
      </c>
      <c r="G326" s="29">
        <f>IF($A326="","",IF(AND(D326&lt;&gt;"Solo interés",C326=INDEX('Préstamos'!$G$2:$G$101,MATCH($A326,'Préstamos'!$A$2:$A$101,0))),INDEX('Préstamos'!$I$2:$I$101,MATCH($A326,'Préstamos'!$A$2:$A$101,0))-INDEX('Préstamos'!$K$2:$K$101,MATCH($A326,'Préstamos'!$A$2:$A$101,0))*(INDEX('Préstamos'!$G$2:$G$101,MATCH($A326,'Préstamos'!$A$2:$A$101,0))-1),INDEX('Préstamos'!$K$2:$K$101,MATCH($A326,'Préstamos'!$A$2:$A$101,0))))</f>
        <v/>
      </c>
      <c r="H326" s="29">
        <f>IF($A326="","",F326+G326)</f>
        <v/>
      </c>
      <c r="I326" s="14" t="n"/>
      <c r="J326" s="33" t="n"/>
      <c r="K326" s="16">
        <f>IF(OR($A326="",I326="Pagado"),"",MAX(0,TODAY()-E326))</f>
        <v/>
      </c>
      <c r="L326" s="16">
        <f>IF($A326="","",IF(I326="Pagado","Pagado",IF(E326&lt;TODAY(),"Atrasado",IF(E326&lt;=EOMONTH(TODAY(),0),"Este mes","Pendiente"))))</f>
        <v/>
      </c>
      <c r="M326" s="20">
        <f>IF(OR($A326="",I326="Pagado"),"",HYPERLINK("https://wa.me/"&amp;IF(INDEX('Préstamos'!$C$2:$C$101,MATCH($A326,'Préstamos'!$A$2:$A$101,0))="","","51"&amp;SUBSTITUTE(INDEX('Préstamos'!$C$2:$C$101,MATCH($A326,'Préstamos'!$A$2:$A$101,0))," ",""))&amp;"?text="&amp;SUBSTITUTE("Hola "&amp;B326&amp;", te recuerdo que tu cuota de S/ "&amp;H326&amp;IF(E326&lt;TODAY()," vencio el "," vence el ")&amp;TEXT(E326,"dd/mm")&amp;". Gracias!"," ","%20"),"WhatsApp"))</f>
        <v/>
      </c>
    </row>
    <row r="327">
      <c r="A327" s="14" t="n"/>
      <c r="B327" s="16">
        <f>IF($A327="","",INDEX('Préstamos'!$B$2:$B$101,MATCH($A327,'Préstamos'!$A$2:$A$101,0)))</f>
        <v/>
      </c>
      <c r="C327" s="14" t="n"/>
      <c r="D327" s="14" t="n"/>
      <c r="E327" s="33" t="n"/>
      <c r="F327" s="29">
        <f>IF($A327="","",IF(D327="Solo interés",0,IF(AND(D327&lt;&gt;"Solo interés",C327=INDEX('Préstamos'!$G$2:$G$101,MATCH($A327,'Préstamos'!$A$2:$A$101,0))),INDEX('Préstamos'!$D$2:$D$101,MATCH($A327,'Préstamos'!$A$2:$A$101,0))-INDEX('Préstamos'!$J$2:$J$101,MATCH($A327,'Préstamos'!$A$2:$A$101,0))*(INDEX('Préstamos'!$G$2:$G$101,MATCH($A327,'Préstamos'!$A$2:$A$101,0))-1),INDEX('Préstamos'!$J$2:$J$101,MATCH($A327,'Préstamos'!$A$2:$A$101,0)))))</f>
        <v/>
      </c>
      <c r="G327" s="29">
        <f>IF($A327="","",IF(AND(D327&lt;&gt;"Solo interés",C327=INDEX('Préstamos'!$G$2:$G$101,MATCH($A327,'Préstamos'!$A$2:$A$101,0))),INDEX('Préstamos'!$I$2:$I$101,MATCH($A327,'Préstamos'!$A$2:$A$101,0))-INDEX('Préstamos'!$K$2:$K$101,MATCH($A327,'Préstamos'!$A$2:$A$101,0))*(INDEX('Préstamos'!$G$2:$G$101,MATCH($A327,'Préstamos'!$A$2:$A$101,0))-1),INDEX('Préstamos'!$K$2:$K$101,MATCH($A327,'Préstamos'!$A$2:$A$101,0))))</f>
        <v/>
      </c>
      <c r="H327" s="29">
        <f>IF($A327="","",F327+G327)</f>
        <v/>
      </c>
      <c r="I327" s="14" t="n"/>
      <c r="J327" s="33" t="n"/>
      <c r="K327" s="16">
        <f>IF(OR($A327="",I327="Pagado"),"",MAX(0,TODAY()-E327))</f>
        <v/>
      </c>
      <c r="L327" s="16">
        <f>IF($A327="","",IF(I327="Pagado","Pagado",IF(E327&lt;TODAY(),"Atrasado",IF(E327&lt;=EOMONTH(TODAY(),0),"Este mes","Pendiente"))))</f>
        <v/>
      </c>
      <c r="M327" s="20">
        <f>IF(OR($A327="",I327="Pagado"),"",HYPERLINK("https://wa.me/"&amp;IF(INDEX('Préstamos'!$C$2:$C$101,MATCH($A327,'Préstamos'!$A$2:$A$101,0))="","","51"&amp;SUBSTITUTE(INDEX('Préstamos'!$C$2:$C$101,MATCH($A327,'Préstamos'!$A$2:$A$101,0))," ",""))&amp;"?text="&amp;SUBSTITUTE("Hola "&amp;B327&amp;", te recuerdo que tu cuota de S/ "&amp;H327&amp;IF(E327&lt;TODAY()," vencio el "," vence el ")&amp;TEXT(E327,"dd/mm")&amp;". Gracias!"," ","%20"),"WhatsApp"))</f>
        <v/>
      </c>
    </row>
    <row r="328">
      <c r="A328" s="14" t="n"/>
      <c r="B328" s="16">
        <f>IF($A328="","",INDEX('Préstamos'!$B$2:$B$101,MATCH($A328,'Préstamos'!$A$2:$A$101,0)))</f>
        <v/>
      </c>
      <c r="C328" s="14" t="n"/>
      <c r="D328" s="14" t="n"/>
      <c r="E328" s="33" t="n"/>
      <c r="F328" s="29">
        <f>IF($A328="","",IF(D328="Solo interés",0,IF(AND(D328&lt;&gt;"Solo interés",C328=INDEX('Préstamos'!$G$2:$G$101,MATCH($A328,'Préstamos'!$A$2:$A$101,0))),INDEX('Préstamos'!$D$2:$D$101,MATCH($A328,'Préstamos'!$A$2:$A$101,0))-INDEX('Préstamos'!$J$2:$J$101,MATCH($A328,'Préstamos'!$A$2:$A$101,0))*(INDEX('Préstamos'!$G$2:$G$101,MATCH($A328,'Préstamos'!$A$2:$A$101,0))-1),INDEX('Préstamos'!$J$2:$J$101,MATCH($A328,'Préstamos'!$A$2:$A$101,0)))))</f>
        <v/>
      </c>
      <c r="G328" s="29">
        <f>IF($A328="","",IF(AND(D328&lt;&gt;"Solo interés",C328=INDEX('Préstamos'!$G$2:$G$101,MATCH($A328,'Préstamos'!$A$2:$A$101,0))),INDEX('Préstamos'!$I$2:$I$101,MATCH($A328,'Préstamos'!$A$2:$A$101,0))-INDEX('Préstamos'!$K$2:$K$101,MATCH($A328,'Préstamos'!$A$2:$A$101,0))*(INDEX('Préstamos'!$G$2:$G$101,MATCH($A328,'Préstamos'!$A$2:$A$101,0))-1),INDEX('Préstamos'!$K$2:$K$101,MATCH($A328,'Préstamos'!$A$2:$A$101,0))))</f>
        <v/>
      </c>
      <c r="H328" s="29">
        <f>IF($A328="","",F328+G328)</f>
        <v/>
      </c>
      <c r="I328" s="14" t="n"/>
      <c r="J328" s="33" t="n"/>
      <c r="K328" s="16">
        <f>IF(OR($A328="",I328="Pagado"),"",MAX(0,TODAY()-E328))</f>
        <v/>
      </c>
      <c r="L328" s="16">
        <f>IF($A328="","",IF(I328="Pagado","Pagado",IF(E328&lt;TODAY(),"Atrasado",IF(E328&lt;=EOMONTH(TODAY(),0),"Este mes","Pendiente"))))</f>
        <v/>
      </c>
      <c r="M328" s="20">
        <f>IF(OR($A328="",I328="Pagado"),"",HYPERLINK("https://wa.me/"&amp;IF(INDEX('Préstamos'!$C$2:$C$101,MATCH($A328,'Préstamos'!$A$2:$A$101,0))="","","51"&amp;SUBSTITUTE(INDEX('Préstamos'!$C$2:$C$101,MATCH($A328,'Préstamos'!$A$2:$A$101,0))," ",""))&amp;"?text="&amp;SUBSTITUTE("Hola "&amp;B328&amp;", te recuerdo que tu cuota de S/ "&amp;H328&amp;IF(E328&lt;TODAY()," vencio el "," vence el ")&amp;TEXT(E328,"dd/mm")&amp;". Gracias!"," ","%20"),"WhatsApp"))</f>
        <v/>
      </c>
    </row>
    <row r="329">
      <c r="A329" s="14" t="n"/>
      <c r="B329" s="16">
        <f>IF($A329="","",INDEX('Préstamos'!$B$2:$B$101,MATCH($A329,'Préstamos'!$A$2:$A$101,0)))</f>
        <v/>
      </c>
      <c r="C329" s="14" t="n"/>
      <c r="D329" s="14" t="n"/>
      <c r="E329" s="33" t="n"/>
      <c r="F329" s="29">
        <f>IF($A329="","",IF(D329="Solo interés",0,IF(AND(D329&lt;&gt;"Solo interés",C329=INDEX('Préstamos'!$G$2:$G$101,MATCH($A329,'Préstamos'!$A$2:$A$101,0))),INDEX('Préstamos'!$D$2:$D$101,MATCH($A329,'Préstamos'!$A$2:$A$101,0))-INDEX('Préstamos'!$J$2:$J$101,MATCH($A329,'Préstamos'!$A$2:$A$101,0))*(INDEX('Préstamos'!$G$2:$G$101,MATCH($A329,'Préstamos'!$A$2:$A$101,0))-1),INDEX('Préstamos'!$J$2:$J$101,MATCH($A329,'Préstamos'!$A$2:$A$101,0)))))</f>
        <v/>
      </c>
      <c r="G329" s="29">
        <f>IF($A329="","",IF(AND(D329&lt;&gt;"Solo interés",C329=INDEX('Préstamos'!$G$2:$G$101,MATCH($A329,'Préstamos'!$A$2:$A$101,0))),INDEX('Préstamos'!$I$2:$I$101,MATCH($A329,'Préstamos'!$A$2:$A$101,0))-INDEX('Préstamos'!$K$2:$K$101,MATCH($A329,'Préstamos'!$A$2:$A$101,0))*(INDEX('Préstamos'!$G$2:$G$101,MATCH($A329,'Préstamos'!$A$2:$A$101,0))-1),INDEX('Préstamos'!$K$2:$K$101,MATCH($A329,'Préstamos'!$A$2:$A$101,0))))</f>
        <v/>
      </c>
      <c r="H329" s="29">
        <f>IF($A329="","",F329+G329)</f>
        <v/>
      </c>
      <c r="I329" s="14" t="n"/>
      <c r="J329" s="33" t="n"/>
      <c r="K329" s="16">
        <f>IF(OR($A329="",I329="Pagado"),"",MAX(0,TODAY()-E329))</f>
        <v/>
      </c>
      <c r="L329" s="16">
        <f>IF($A329="","",IF(I329="Pagado","Pagado",IF(E329&lt;TODAY(),"Atrasado",IF(E329&lt;=EOMONTH(TODAY(),0),"Este mes","Pendiente"))))</f>
        <v/>
      </c>
      <c r="M329" s="20">
        <f>IF(OR($A329="",I329="Pagado"),"",HYPERLINK("https://wa.me/"&amp;IF(INDEX('Préstamos'!$C$2:$C$101,MATCH($A329,'Préstamos'!$A$2:$A$101,0))="","","51"&amp;SUBSTITUTE(INDEX('Préstamos'!$C$2:$C$101,MATCH($A329,'Préstamos'!$A$2:$A$101,0))," ",""))&amp;"?text="&amp;SUBSTITUTE("Hola "&amp;B329&amp;", te recuerdo que tu cuota de S/ "&amp;H329&amp;IF(E329&lt;TODAY()," vencio el "," vence el ")&amp;TEXT(E329,"dd/mm")&amp;". Gracias!"," ","%20"),"WhatsApp"))</f>
        <v/>
      </c>
    </row>
    <row r="330">
      <c r="A330" s="14" t="n"/>
      <c r="B330" s="16">
        <f>IF($A330="","",INDEX('Préstamos'!$B$2:$B$101,MATCH($A330,'Préstamos'!$A$2:$A$101,0)))</f>
        <v/>
      </c>
      <c r="C330" s="14" t="n"/>
      <c r="D330" s="14" t="n"/>
      <c r="E330" s="33" t="n"/>
      <c r="F330" s="29">
        <f>IF($A330="","",IF(D330="Solo interés",0,IF(AND(D330&lt;&gt;"Solo interés",C330=INDEX('Préstamos'!$G$2:$G$101,MATCH($A330,'Préstamos'!$A$2:$A$101,0))),INDEX('Préstamos'!$D$2:$D$101,MATCH($A330,'Préstamos'!$A$2:$A$101,0))-INDEX('Préstamos'!$J$2:$J$101,MATCH($A330,'Préstamos'!$A$2:$A$101,0))*(INDEX('Préstamos'!$G$2:$G$101,MATCH($A330,'Préstamos'!$A$2:$A$101,0))-1),INDEX('Préstamos'!$J$2:$J$101,MATCH($A330,'Préstamos'!$A$2:$A$101,0)))))</f>
        <v/>
      </c>
      <c r="G330" s="29">
        <f>IF($A330="","",IF(AND(D330&lt;&gt;"Solo interés",C330=INDEX('Préstamos'!$G$2:$G$101,MATCH($A330,'Préstamos'!$A$2:$A$101,0))),INDEX('Préstamos'!$I$2:$I$101,MATCH($A330,'Préstamos'!$A$2:$A$101,0))-INDEX('Préstamos'!$K$2:$K$101,MATCH($A330,'Préstamos'!$A$2:$A$101,0))*(INDEX('Préstamos'!$G$2:$G$101,MATCH($A330,'Préstamos'!$A$2:$A$101,0))-1),INDEX('Préstamos'!$K$2:$K$101,MATCH($A330,'Préstamos'!$A$2:$A$101,0))))</f>
        <v/>
      </c>
      <c r="H330" s="29">
        <f>IF($A330="","",F330+G330)</f>
        <v/>
      </c>
      <c r="I330" s="14" t="n"/>
      <c r="J330" s="33" t="n"/>
      <c r="K330" s="16">
        <f>IF(OR($A330="",I330="Pagado"),"",MAX(0,TODAY()-E330))</f>
        <v/>
      </c>
      <c r="L330" s="16">
        <f>IF($A330="","",IF(I330="Pagado","Pagado",IF(E330&lt;TODAY(),"Atrasado",IF(E330&lt;=EOMONTH(TODAY(),0),"Este mes","Pendiente"))))</f>
        <v/>
      </c>
      <c r="M330" s="20">
        <f>IF(OR($A330="",I330="Pagado"),"",HYPERLINK("https://wa.me/"&amp;IF(INDEX('Préstamos'!$C$2:$C$101,MATCH($A330,'Préstamos'!$A$2:$A$101,0))="","","51"&amp;SUBSTITUTE(INDEX('Préstamos'!$C$2:$C$101,MATCH($A330,'Préstamos'!$A$2:$A$101,0))," ",""))&amp;"?text="&amp;SUBSTITUTE("Hola "&amp;B330&amp;", te recuerdo que tu cuota de S/ "&amp;H330&amp;IF(E330&lt;TODAY()," vencio el "," vence el ")&amp;TEXT(E330,"dd/mm")&amp;". Gracias!"," ","%20"),"WhatsApp"))</f>
        <v/>
      </c>
    </row>
    <row r="331">
      <c r="A331" s="14" t="n"/>
      <c r="B331" s="16">
        <f>IF($A331="","",INDEX('Préstamos'!$B$2:$B$101,MATCH($A331,'Préstamos'!$A$2:$A$101,0)))</f>
        <v/>
      </c>
      <c r="C331" s="14" t="n"/>
      <c r="D331" s="14" t="n"/>
      <c r="E331" s="33" t="n"/>
      <c r="F331" s="29">
        <f>IF($A331="","",IF(D331="Solo interés",0,IF(AND(D331&lt;&gt;"Solo interés",C331=INDEX('Préstamos'!$G$2:$G$101,MATCH($A331,'Préstamos'!$A$2:$A$101,0))),INDEX('Préstamos'!$D$2:$D$101,MATCH($A331,'Préstamos'!$A$2:$A$101,0))-INDEX('Préstamos'!$J$2:$J$101,MATCH($A331,'Préstamos'!$A$2:$A$101,0))*(INDEX('Préstamos'!$G$2:$G$101,MATCH($A331,'Préstamos'!$A$2:$A$101,0))-1),INDEX('Préstamos'!$J$2:$J$101,MATCH($A331,'Préstamos'!$A$2:$A$101,0)))))</f>
        <v/>
      </c>
      <c r="G331" s="29">
        <f>IF($A331="","",IF(AND(D331&lt;&gt;"Solo interés",C331=INDEX('Préstamos'!$G$2:$G$101,MATCH($A331,'Préstamos'!$A$2:$A$101,0))),INDEX('Préstamos'!$I$2:$I$101,MATCH($A331,'Préstamos'!$A$2:$A$101,0))-INDEX('Préstamos'!$K$2:$K$101,MATCH($A331,'Préstamos'!$A$2:$A$101,0))*(INDEX('Préstamos'!$G$2:$G$101,MATCH($A331,'Préstamos'!$A$2:$A$101,0))-1),INDEX('Préstamos'!$K$2:$K$101,MATCH($A331,'Préstamos'!$A$2:$A$101,0))))</f>
        <v/>
      </c>
      <c r="H331" s="29">
        <f>IF($A331="","",F331+G331)</f>
        <v/>
      </c>
      <c r="I331" s="14" t="n"/>
      <c r="J331" s="33" t="n"/>
      <c r="K331" s="16">
        <f>IF(OR($A331="",I331="Pagado"),"",MAX(0,TODAY()-E331))</f>
        <v/>
      </c>
      <c r="L331" s="16">
        <f>IF($A331="","",IF(I331="Pagado","Pagado",IF(E331&lt;TODAY(),"Atrasado",IF(E331&lt;=EOMONTH(TODAY(),0),"Este mes","Pendiente"))))</f>
        <v/>
      </c>
      <c r="M331" s="20">
        <f>IF(OR($A331="",I331="Pagado"),"",HYPERLINK("https://wa.me/"&amp;IF(INDEX('Préstamos'!$C$2:$C$101,MATCH($A331,'Préstamos'!$A$2:$A$101,0))="","","51"&amp;SUBSTITUTE(INDEX('Préstamos'!$C$2:$C$101,MATCH($A331,'Préstamos'!$A$2:$A$101,0))," ",""))&amp;"?text="&amp;SUBSTITUTE("Hola "&amp;B331&amp;", te recuerdo que tu cuota de S/ "&amp;H331&amp;IF(E331&lt;TODAY()," vencio el "," vence el ")&amp;TEXT(E331,"dd/mm")&amp;". Gracias!"," ","%20"),"WhatsApp"))</f>
        <v/>
      </c>
    </row>
    <row r="332">
      <c r="A332" s="14" t="n"/>
      <c r="B332" s="16">
        <f>IF($A332="","",INDEX('Préstamos'!$B$2:$B$101,MATCH($A332,'Préstamos'!$A$2:$A$101,0)))</f>
        <v/>
      </c>
      <c r="C332" s="14" t="n"/>
      <c r="D332" s="14" t="n"/>
      <c r="E332" s="33" t="n"/>
      <c r="F332" s="29">
        <f>IF($A332="","",IF(D332="Solo interés",0,IF(AND(D332&lt;&gt;"Solo interés",C332=INDEX('Préstamos'!$G$2:$G$101,MATCH($A332,'Préstamos'!$A$2:$A$101,0))),INDEX('Préstamos'!$D$2:$D$101,MATCH($A332,'Préstamos'!$A$2:$A$101,0))-INDEX('Préstamos'!$J$2:$J$101,MATCH($A332,'Préstamos'!$A$2:$A$101,0))*(INDEX('Préstamos'!$G$2:$G$101,MATCH($A332,'Préstamos'!$A$2:$A$101,0))-1),INDEX('Préstamos'!$J$2:$J$101,MATCH($A332,'Préstamos'!$A$2:$A$101,0)))))</f>
        <v/>
      </c>
      <c r="G332" s="29">
        <f>IF($A332="","",IF(AND(D332&lt;&gt;"Solo interés",C332=INDEX('Préstamos'!$G$2:$G$101,MATCH($A332,'Préstamos'!$A$2:$A$101,0))),INDEX('Préstamos'!$I$2:$I$101,MATCH($A332,'Préstamos'!$A$2:$A$101,0))-INDEX('Préstamos'!$K$2:$K$101,MATCH($A332,'Préstamos'!$A$2:$A$101,0))*(INDEX('Préstamos'!$G$2:$G$101,MATCH($A332,'Préstamos'!$A$2:$A$101,0))-1),INDEX('Préstamos'!$K$2:$K$101,MATCH($A332,'Préstamos'!$A$2:$A$101,0))))</f>
        <v/>
      </c>
      <c r="H332" s="29">
        <f>IF($A332="","",F332+G332)</f>
        <v/>
      </c>
      <c r="I332" s="14" t="n"/>
      <c r="J332" s="33" t="n"/>
      <c r="K332" s="16">
        <f>IF(OR($A332="",I332="Pagado"),"",MAX(0,TODAY()-E332))</f>
        <v/>
      </c>
      <c r="L332" s="16">
        <f>IF($A332="","",IF(I332="Pagado","Pagado",IF(E332&lt;TODAY(),"Atrasado",IF(E332&lt;=EOMONTH(TODAY(),0),"Este mes","Pendiente"))))</f>
        <v/>
      </c>
      <c r="M332" s="20">
        <f>IF(OR($A332="",I332="Pagado"),"",HYPERLINK("https://wa.me/"&amp;IF(INDEX('Préstamos'!$C$2:$C$101,MATCH($A332,'Préstamos'!$A$2:$A$101,0))="","","51"&amp;SUBSTITUTE(INDEX('Préstamos'!$C$2:$C$101,MATCH($A332,'Préstamos'!$A$2:$A$101,0))," ",""))&amp;"?text="&amp;SUBSTITUTE("Hola "&amp;B332&amp;", te recuerdo que tu cuota de S/ "&amp;H332&amp;IF(E332&lt;TODAY()," vencio el "," vence el ")&amp;TEXT(E332,"dd/mm")&amp;". Gracias!"," ","%20"),"WhatsApp"))</f>
        <v/>
      </c>
    </row>
    <row r="333">
      <c r="A333" s="14" t="n"/>
      <c r="B333" s="16">
        <f>IF($A333="","",INDEX('Préstamos'!$B$2:$B$101,MATCH($A333,'Préstamos'!$A$2:$A$101,0)))</f>
        <v/>
      </c>
      <c r="C333" s="14" t="n"/>
      <c r="D333" s="14" t="n"/>
      <c r="E333" s="33" t="n"/>
      <c r="F333" s="29">
        <f>IF($A333="","",IF(D333="Solo interés",0,IF(AND(D333&lt;&gt;"Solo interés",C333=INDEX('Préstamos'!$G$2:$G$101,MATCH($A333,'Préstamos'!$A$2:$A$101,0))),INDEX('Préstamos'!$D$2:$D$101,MATCH($A333,'Préstamos'!$A$2:$A$101,0))-INDEX('Préstamos'!$J$2:$J$101,MATCH($A333,'Préstamos'!$A$2:$A$101,0))*(INDEX('Préstamos'!$G$2:$G$101,MATCH($A333,'Préstamos'!$A$2:$A$101,0))-1),INDEX('Préstamos'!$J$2:$J$101,MATCH($A333,'Préstamos'!$A$2:$A$101,0)))))</f>
        <v/>
      </c>
      <c r="G333" s="29">
        <f>IF($A333="","",IF(AND(D333&lt;&gt;"Solo interés",C333=INDEX('Préstamos'!$G$2:$G$101,MATCH($A333,'Préstamos'!$A$2:$A$101,0))),INDEX('Préstamos'!$I$2:$I$101,MATCH($A333,'Préstamos'!$A$2:$A$101,0))-INDEX('Préstamos'!$K$2:$K$101,MATCH($A333,'Préstamos'!$A$2:$A$101,0))*(INDEX('Préstamos'!$G$2:$G$101,MATCH($A333,'Préstamos'!$A$2:$A$101,0))-1),INDEX('Préstamos'!$K$2:$K$101,MATCH($A333,'Préstamos'!$A$2:$A$101,0))))</f>
        <v/>
      </c>
      <c r="H333" s="29">
        <f>IF($A333="","",F333+G333)</f>
        <v/>
      </c>
      <c r="I333" s="14" t="n"/>
      <c r="J333" s="33" t="n"/>
      <c r="K333" s="16">
        <f>IF(OR($A333="",I333="Pagado"),"",MAX(0,TODAY()-E333))</f>
        <v/>
      </c>
      <c r="L333" s="16">
        <f>IF($A333="","",IF(I333="Pagado","Pagado",IF(E333&lt;TODAY(),"Atrasado",IF(E333&lt;=EOMONTH(TODAY(),0),"Este mes","Pendiente"))))</f>
        <v/>
      </c>
      <c r="M333" s="20">
        <f>IF(OR($A333="",I333="Pagado"),"",HYPERLINK("https://wa.me/"&amp;IF(INDEX('Préstamos'!$C$2:$C$101,MATCH($A333,'Préstamos'!$A$2:$A$101,0))="","","51"&amp;SUBSTITUTE(INDEX('Préstamos'!$C$2:$C$101,MATCH($A333,'Préstamos'!$A$2:$A$101,0))," ",""))&amp;"?text="&amp;SUBSTITUTE("Hola "&amp;B333&amp;", te recuerdo que tu cuota de S/ "&amp;H333&amp;IF(E333&lt;TODAY()," vencio el "," vence el ")&amp;TEXT(E333,"dd/mm")&amp;". Gracias!"," ","%20"),"WhatsApp"))</f>
        <v/>
      </c>
    </row>
    <row r="334">
      <c r="A334" s="14" t="n"/>
      <c r="B334" s="16">
        <f>IF($A334="","",INDEX('Préstamos'!$B$2:$B$101,MATCH($A334,'Préstamos'!$A$2:$A$101,0)))</f>
        <v/>
      </c>
      <c r="C334" s="14" t="n"/>
      <c r="D334" s="14" t="n"/>
      <c r="E334" s="33" t="n"/>
      <c r="F334" s="29">
        <f>IF($A334="","",IF(D334="Solo interés",0,IF(AND(D334&lt;&gt;"Solo interés",C334=INDEX('Préstamos'!$G$2:$G$101,MATCH($A334,'Préstamos'!$A$2:$A$101,0))),INDEX('Préstamos'!$D$2:$D$101,MATCH($A334,'Préstamos'!$A$2:$A$101,0))-INDEX('Préstamos'!$J$2:$J$101,MATCH($A334,'Préstamos'!$A$2:$A$101,0))*(INDEX('Préstamos'!$G$2:$G$101,MATCH($A334,'Préstamos'!$A$2:$A$101,0))-1),INDEX('Préstamos'!$J$2:$J$101,MATCH($A334,'Préstamos'!$A$2:$A$101,0)))))</f>
        <v/>
      </c>
      <c r="G334" s="29">
        <f>IF($A334="","",IF(AND(D334&lt;&gt;"Solo interés",C334=INDEX('Préstamos'!$G$2:$G$101,MATCH($A334,'Préstamos'!$A$2:$A$101,0))),INDEX('Préstamos'!$I$2:$I$101,MATCH($A334,'Préstamos'!$A$2:$A$101,0))-INDEX('Préstamos'!$K$2:$K$101,MATCH($A334,'Préstamos'!$A$2:$A$101,0))*(INDEX('Préstamos'!$G$2:$G$101,MATCH($A334,'Préstamos'!$A$2:$A$101,0))-1),INDEX('Préstamos'!$K$2:$K$101,MATCH($A334,'Préstamos'!$A$2:$A$101,0))))</f>
        <v/>
      </c>
      <c r="H334" s="29">
        <f>IF($A334="","",F334+G334)</f>
        <v/>
      </c>
      <c r="I334" s="14" t="n"/>
      <c r="J334" s="33" t="n"/>
      <c r="K334" s="16">
        <f>IF(OR($A334="",I334="Pagado"),"",MAX(0,TODAY()-E334))</f>
        <v/>
      </c>
      <c r="L334" s="16">
        <f>IF($A334="","",IF(I334="Pagado","Pagado",IF(E334&lt;TODAY(),"Atrasado",IF(E334&lt;=EOMONTH(TODAY(),0),"Este mes","Pendiente"))))</f>
        <v/>
      </c>
      <c r="M334" s="20">
        <f>IF(OR($A334="",I334="Pagado"),"",HYPERLINK("https://wa.me/"&amp;IF(INDEX('Préstamos'!$C$2:$C$101,MATCH($A334,'Préstamos'!$A$2:$A$101,0))="","","51"&amp;SUBSTITUTE(INDEX('Préstamos'!$C$2:$C$101,MATCH($A334,'Préstamos'!$A$2:$A$101,0))," ",""))&amp;"?text="&amp;SUBSTITUTE("Hola "&amp;B334&amp;", te recuerdo que tu cuota de S/ "&amp;H334&amp;IF(E334&lt;TODAY()," vencio el "," vence el ")&amp;TEXT(E334,"dd/mm")&amp;". Gracias!"," ","%20"),"WhatsApp"))</f>
        <v/>
      </c>
    </row>
    <row r="335">
      <c r="A335" s="14" t="n"/>
      <c r="B335" s="16">
        <f>IF($A335="","",INDEX('Préstamos'!$B$2:$B$101,MATCH($A335,'Préstamos'!$A$2:$A$101,0)))</f>
        <v/>
      </c>
      <c r="C335" s="14" t="n"/>
      <c r="D335" s="14" t="n"/>
      <c r="E335" s="33" t="n"/>
      <c r="F335" s="29">
        <f>IF($A335="","",IF(D335="Solo interés",0,IF(AND(D335&lt;&gt;"Solo interés",C335=INDEX('Préstamos'!$G$2:$G$101,MATCH($A335,'Préstamos'!$A$2:$A$101,0))),INDEX('Préstamos'!$D$2:$D$101,MATCH($A335,'Préstamos'!$A$2:$A$101,0))-INDEX('Préstamos'!$J$2:$J$101,MATCH($A335,'Préstamos'!$A$2:$A$101,0))*(INDEX('Préstamos'!$G$2:$G$101,MATCH($A335,'Préstamos'!$A$2:$A$101,0))-1),INDEX('Préstamos'!$J$2:$J$101,MATCH($A335,'Préstamos'!$A$2:$A$101,0)))))</f>
        <v/>
      </c>
      <c r="G335" s="29">
        <f>IF($A335="","",IF(AND(D335&lt;&gt;"Solo interés",C335=INDEX('Préstamos'!$G$2:$G$101,MATCH($A335,'Préstamos'!$A$2:$A$101,0))),INDEX('Préstamos'!$I$2:$I$101,MATCH($A335,'Préstamos'!$A$2:$A$101,0))-INDEX('Préstamos'!$K$2:$K$101,MATCH($A335,'Préstamos'!$A$2:$A$101,0))*(INDEX('Préstamos'!$G$2:$G$101,MATCH($A335,'Préstamos'!$A$2:$A$101,0))-1),INDEX('Préstamos'!$K$2:$K$101,MATCH($A335,'Préstamos'!$A$2:$A$101,0))))</f>
        <v/>
      </c>
      <c r="H335" s="29">
        <f>IF($A335="","",F335+G335)</f>
        <v/>
      </c>
      <c r="I335" s="14" t="n"/>
      <c r="J335" s="33" t="n"/>
      <c r="K335" s="16">
        <f>IF(OR($A335="",I335="Pagado"),"",MAX(0,TODAY()-E335))</f>
        <v/>
      </c>
      <c r="L335" s="16">
        <f>IF($A335="","",IF(I335="Pagado","Pagado",IF(E335&lt;TODAY(),"Atrasado",IF(E335&lt;=EOMONTH(TODAY(),0),"Este mes","Pendiente"))))</f>
        <v/>
      </c>
      <c r="M335" s="20">
        <f>IF(OR($A335="",I335="Pagado"),"",HYPERLINK("https://wa.me/"&amp;IF(INDEX('Préstamos'!$C$2:$C$101,MATCH($A335,'Préstamos'!$A$2:$A$101,0))="","","51"&amp;SUBSTITUTE(INDEX('Préstamos'!$C$2:$C$101,MATCH($A335,'Préstamos'!$A$2:$A$101,0))," ",""))&amp;"?text="&amp;SUBSTITUTE("Hola "&amp;B335&amp;", te recuerdo que tu cuota de S/ "&amp;H335&amp;IF(E335&lt;TODAY()," vencio el "," vence el ")&amp;TEXT(E335,"dd/mm")&amp;". Gracias!"," ","%20"),"WhatsApp"))</f>
        <v/>
      </c>
    </row>
    <row r="336">
      <c r="A336" s="14" t="n"/>
      <c r="B336" s="16">
        <f>IF($A336="","",INDEX('Préstamos'!$B$2:$B$101,MATCH($A336,'Préstamos'!$A$2:$A$101,0)))</f>
        <v/>
      </c>
      <c r="C336" s="14" t="n"/>
      <c r="D336" s="14" t="n"/>
      <c r="E336" s="33" t="n"/>
      <c r="F336" s="29">
        <f>IF($A336="","",IF(D336="Solo interés",0,IF(AND(D336&lt;&gt;"Solo interés",C336=INDEX('Préstamos'!$G$2:$G$101,MATCH($A336,'Préstamos'!$A$2:$A$101,0))),INDEX('Préstamos'!$D$2:$D$101,MATCH($A336,'Préstamos'!$A$2:$A$101,0))-INDEX('Préstamos'!$J$2:$J$101,MATCH($A336,'Préstamos'!$A$2:$A$101,0))*(INDEX('Préstamos'!$G$2:$G$101,MATCH($A336,'Préstamos'!$A$2:$A$101,0))-1),INDEX('Préstamos'!$J$2:$J$101,MATCH($A336,'Préstamos'!$A$2:$A$101,0)))))</f>
        <v/>
      </c>
      <c r="G336" s="29">
        <f>IF($A336="","",IF(AND(D336&lt;&gt;"Solo interés",C336=INDEX('Préstamos'!$G$2:$G$101,MATCH($A336,'Préstamos'!$A$2:$A$101,0))),INDEX('Préstamos'!$I$2:$I$101,MATCH($A336,'Préstamos'!$A$2:$A$101,0))-INDEX('Préstamos'!$K$2:$K$101,MATCH($A336,'Préstamos'!$A$2:$A$101,0))*(INDEX('Préstamos'!$G$2:$G$101,MATCH($A336,'Préstamos'!$A$2:$A$101,0))-1),INDEX('Préstamos'!$K$2:$K$101,MATCH($A336,'Préstamos'!$A$2:$A$101,0))))</f>
        <v/>
      </c>
      <c r="H336" s="29">
        <f>IF($A336="","",F336+G336)</f>
        <v/>
      </c>
      <c r="I336" s="14" t="n"/>
      <c r="J336" s="33" t="n"/>
      <c r="K336" s="16">
        <f>IF(OR($A336="",I336="Pagado"),"",MAX(0,TODAY()-E336))</f>
        <v/>
      </c>
      <c r="L336" s="16">
        <f>IF($A336="","",IF(I336="Pagado","Pagado",IF(E336&lt;TODAY(),"Atrasado",IF(E336&lt;=EOMONTH(TODAY(),0),"Este mes","Pendiente"))))</f>
        <v/>
      </c>
      <c r="M336" s="20">
        <f>IF(OR($A336="",I336="Pagado"),"",HYPERLINK("https://wa.me/"&amp;IF(INDEX('Préstamos'!$C$2:$C$101,MATCH($A336,'Préstamos'!$A$2:$A$101,0))="","","51"&amp;SUBSTITUTE(INDEX('Préstamos'!$C$2:$C$101,MATCH($A336,'Préstamos'!$A$2:$A$101,0))," ",""))&amp;"?text="&amp;SUBSTITUTE("Hola "&amp;B336&amp;", te recuerdo que tu cuota de S/ "&amp;H336&amp;IF(E336&lt;TODAY()," vencio el "," vence el ")&amp;TEXT(E336,"dd/mm")&amp;". Gracias!"," ","%20"),"WhatsApp"))</f>
        <v/>
      </c>
    </row>
    <row r="337">
      <c r="A337" s="14" t="n"/>
      <c r="B337" s="16">
        <f>IF($A337="","",INDEX('Préstamos'!$B$2:$B$101,MATCH($A337,'Préstamos'!$A$2:$A$101,0)))</f>
        <v/>
      </c>
      <c r="C337" s="14" t="n"/>
      <c r="D337" s="14" t="n"/>
      <c r="E337" s="33" t="n"/>
      <c r="F337" s="29">
        <f>IF($A337="","",IF(D337="Solo interés",0,IF(AND(D337&lt;&gt;"Solo interés",C337=INDEX('Préstamos'!$G$2:$G$101,MATCH($A337,'Préstamos'!$A$2:$A$101,0))),INDEX('Préstamos'!$D$2:$D$101,MATCH($A337,'Préstamos'!$A$2:$A$101,0))-INDEX('Préstamos'!$J$2:$J$101,MATCH($A337,'Préstamos'!$A$2:$A$101,0))*(INDEX('Préstamos'!$G$2:$G$101,MATCH($A337,'Préstamos'!$A$2:$A$101,0))-1),INDEX('Préstamos'!$J$2:$J$101,MATCH($A337,'Préstamos'!$A$2:$A$101,0)))))</f>
        <v/>
      </c>
      <c r="G337" s="29">
        <f>IF($A337="","",IF(AND(D337&lt;&gt;"Solo interés",C337=INDEX('Préstamos'!$G$2:$G$101,MATCH($A337,'Préstamos'!$A$2:$A$101,0))),INDEX('Préstamos'!$I$2:$I$101,MATCH($A337,'Préstamos'!$A$2:$A$101,0))-INDEX('Préstamos'!$K$2:$K$101,MATCH($A337,'Préstamos'!$A$2:$A$101,0))*(INDEX('Préstamos'!$G$2:$G$101,MATCH($A337,'Préstamos'!$A$2:$A$101,0))-1),INDEX('Préstamos'!$K$2:$K$101,MATCH($A337,'Préstamos'!$A$2:$A$101,0))))</f>
        <v/>
      </c>
      <c r="H337" s="29">
        <f>IF($A337="","",F337+G337)</f>
        <v/>
      </c>
      <c r="I337" s="14" t="n"/>
      <c r="J337" s="33" t="n"/>
      <c r="K337" s="16">
        <f>IF(OR($A337="",I337="Pagado"),"",MAX(0,TODAY()-E337))</f>
        <v/>
      </c>
      <c r="L337" s="16">
        <f>IF($A337="","",IF(I337="Pagado","Pagado",IF(E337&lt;TODAY(),"Atrasado",IF(E337&lt;=EOMONTH(TODAY(),0),"Este mes","Pendiente"))))</f>
        <v/>
      </c>
      <c r="M337" s="20">
        <f>IF(OR($A337="",I337="Pagado"),"",HYPERLINK("https://wa.me/"&amp;IF(INDEX('Préstamos'!$C$2:$C$101,MATCH($A337,'Préstamos'!$A$2:$A$101,0))="","","51"&amp;SUBSTITUTE(INDEX('Préstamos'!$C$2:$C$101,MATCH($A337,'Préstamos'!$A$2:$A$101,0))," ",""))&amp;"?text="&amp;SUBSTITUTE("Hola "&amp;B337&amp;", te recuerdo que tu cuota de S/ "&amp;H337&amp;IF(E337&lt;TODAY()," vencio el "," vence el ")&amp;TEXT(E337,"dd/mm")&amp;". Gracias!"," ","%20"),"WhatsApp"))</f>
        <v/>
      </c>
    </row>
    <row r="338">
      <c r="A338" s="14" t="n"/>
      <c r="B338" s="16">
        <f>IF($A338="","",INDEX('Préstamos'!$B$2:$B$101,MATCH($A338,'Préstamos'!$A$2:$A$101,0)))</f>
        <v/>
      </c>
      <c r="C338" s="14" t="n"/>
      <c r="D338" s="14" t="n"/>
      <c r="E338" s="33" t="n"/>
      <c r="F338" s="29">
        <f>IF($A338="","",IF(D338="Solo interés",0,IF(AND(D338&lt;&gt;"Solo interés",C338=INDEX('Préstamos'!$G$2:$G$101,MATCH($A338,'Préstamos'!$A$2:$A$101,0))),INDEX('Préstamos'!$D$2:$D$101,MATCH($A338,'Préstamos'!$A$2:$A$101,0))-INDEX('Préstamos'!$J$2:$J$101,MATCH($A338,'Préstamos'!$A$2:$A$101,0))*(INDEX('Préstamos'!$G$2:$G$101,MATCH($A338,'Préstamos'!$A$2:$A$101,0))-1),INDEX('Préstamos'!$J$2:$J$101,MATCH($A338,'Préstamos'!$A$2:$A$101,0)))))</f>
        <v/>
      </c>
      <c r="G338" s="29">
        <f>IF($A338="","",IF(AND(D338&lt;&gt;"Solo interés",C338=INDEX('Préstamos'!$G$2:$G$101,MATCH($A338,'Préstamos'!$A$2:$A$101,0))),INDEX('Préstamos'!$I$2:$I$101,MATCH($A338,'Préstamos'!$A$2:$A$101,0))-INDEX('Préstamos'!$K$2:$K$101,MATCH($A338,'Préstamos'!$A$2:$A$101,0))*(INDEX('Préstamos'!$G$2:$G$101,MATCH($A338,'Préstamos'!$A$2:$A$101,0))-1),INDEX('Préstamos'!$K$2:$K$101,MATCH($A338,'Préstamos'!$A$2:$A$101,0))))</f>
        <v/>
      </c>
      <c r="H338" s="29">
        <f>IF($A338="","",F338+G338)</f>
        <v/>
      </c>
      <c r="I338" s="14" t="n"/>
      <c r="J338" s="33" t="n"/>
      <c r="K338" s="16">
        <f>IF(OR($A338="",I338="Pagado"),"",MAX(0,TODAY()-E338))</f>
        <v/>
      </c>
      <c r="L338" s="16">
        <f>IF($A338="","",IF(I338="Pagado","Pagado",IF(E338&lt;TODAY(),"Atrasado",IF(E338&lt;=EOMONTH(TODAY(),0),"Este mes","Pendiente"))))</f>
        <v/>
      </c>
      <c r="M338" s="20">
        <f>IF(OR($A338="",I338="Pagado"),"",HYPERLINK("https://wa.me/"&amp;IF(INDEX('Préstamos'!$C$2:$C$101,MATCH($A338,'Préstamos'!$A$2:$A$101,0))="","","51"&amp;SUBSTITUTE(INDEX('Préstamos'!$C$2:$C$101,MATCH($A338,'Préstamos'!$A$2:$A$101,0))," ",""))&amp;"?text="&amp;SUBSTITUTE("Hola "&amp;B338&amp;", te recuerdo que tu cuota de S/ "&amp;H338&amp;IF(E338&lt;TODAY()," vencio el "," vence el ")&amp;TEXT(E338,"dd/mm")&amp;". Gracias!"," ","%20"),"WhatsApp"))</f>
        <v/>
      </c>
    </row>
    <row r="339">
      <c r="A339" s="14" t="n"/>
      <c r="B339" s="16">
        <f>IF($A339="","",INDEX('Préstamos'!$B$2:$B$101,MATCH($A339,'Préstamos'!$A$2:$A$101,0)))</f>
        <v/>
      </c>
      <c r="C339" s="14" t="n"/>
      <c r="D339" s="14" t="n"/>
      <c r="E339" s="33" t="n"/>
      <c r="F339" s="29">
        <f>IF($A339="","",IF(D339="Solo interés",0,IF(AND(D339&lt;&gt;"Solo interés",C339=INDEX('Préstamos'!$G$2:$G$101,MATCH($A339,'Préstamos'!$A$2:$A$101,0))),INDEX('Préstamos'!$D$2:$D$101,MATCH($A339,'Préstamos'!$A$2:$A$101,0))-INDEX('Préstamos'!$J$2:$J$101,MATCH($A339,'Préstamos'!$A$2:$A$101,0))*(INDEX('Préstamos'!$G$2:$G$101,MATCH($A339,'Préstamos'!$A$2:$A$101,0))-1),INDEX('Préstamos'!$J$2:$J$101,MATCH($A339,'Préstamos'!$A$2:$A$101,0)))))</f>
        <v/>
      </c>
      <c r="G339" s="29">
        <f>IF($A339="","",IF(AND(D339&lt;&gt;"Solo interés",C339=INDEX('Préstamos'!$G$2:$G$101,MATCH($A339,'Préstamos'!$A$2:$A$101,0))),INDEX('Préstamos'!$I$2:$I$101,MATCH($A339,'Préstamos'!$A$2:$A$101,0))-INDEX('Préstamos'!$K$2:$K$101,MATCH($A339,'Préstamos'!$A$2:$A$101,0))*(INDEX('Préstamos'!$G$2:$G$101,MATCH($A339,'Préstamos'!$A$2:$A$101,0))-1),INDEX('Préstamos'!$K$2:$K$101,MATCH($A339,'Préstamos'!$A$2:$A$101,0))))</f>
        <v/>
      </c>
      <c r="H339" s="29">
        <f>IF($A339="","",F339+G339)</f>
        <v/>
      </c>
      <c r="I339" s="14" t="n"/>
      <c r="J339" s="33" t="n"/>
      <c r="K339" s="16">
        <f>IF(OR($A339="",I339="Pagado"),"",MAX(0,TODAY()-E339))</f>
        <v/>
      </c>
      <c r="L339" s="16">
        <f>IF($A339="","",IF(I339="Pagado","Pagado",IF(E339&lt;TODAY(),"Atrasado",IF(E339&lt;=EOMONTH(TODAY(),0),"Este mes","Pendiente"))))</f>
        <v/>
      </c>
      <c r="M339" s="20">
        <f>IF(OR($A339="",I339="Pagado"),"",HYPERLINK("https://wa.me/"&amp;IF(INDEX('Préstamos'!$C$2:$C$101,MATCH($A339,'Préstamos'!$A$2:$A$101,0))="","","51"&amp;SUBSTITUTE(INDEX('Préstamos'!$C$2:$C$101,MATCH($A339,'Préstamos'!$A$2:$A$101,0))," ",""))&amp;"?text="&amp;SUBSTITUTE("Hola "&amp;B339&amp;", te recuerdo que tu cuota de S/ "&amp;H339&amp;IF(E339&lt;TODAY()," vencio el "," vence el ")&amp;TEXT(E339,"dd/mm")&amp;". Gracias!"," ","%20"),"WhatsApp"))</f>
        <v/>
      </c>
    </row>
    <row r="340">
      <c r="A340" s="14" t="n"/>
      <c r="B340" s="16">
        <f>IF($A340="","",INDEX('Préstamos'!$B$2:$B$101,MATCH($A340,'Préstamos'!$A$2:$A$101,0)))</f>
        <v/>
      </c>
      <c r="C340" s="14" t="n"/>
      <c r="D340" s="14" t="n"/>
      <c r="E340" s="33" t="n"/>
      <c r="F340" s="29">
        <f>IF($A340="","",IF(D340="Solo interés",0,IF(AND(D340&lt;&gt;"Solo interés",C340=INDEX('Préstamos'!$G$2:$G$101,MATCH($A340,'Préstamos'!$A$2:$A$101,0))),INDEX('Préstamos'!$D$2:$D$101,MATCH($A340,'Préstamos'!$A$2:$A$101,0))-INDEX('Préstamos'!$J$2:$J$101,MATCH($A340,'Préstamos'!$A$2:$A$101,0))*(INDEX('Préstamos'!$G$2:$G$101,MATCH($A340,'Préstamos'!$A$2:$A$101,0))-1),INDEX('Préstamos'!$J$2:$J$101,MATCH($A340,'Préstamos'!$A$2:$A$101,0)))))</f>
        <v/>
      </c>
      <c r="G340" s="29">
        <f>IF($A340="","",IF(AND(D340&lt;&gt;"Solo interés",C340=INDEX('Préstamos'!$G$2:$G$101,MATCH($A340,'Préstamos'!$A$2:$A$101,0))),INDEX('Préstamos'!$I$2:$I$101,MATCH($A340,'Préstamos'!$A$2:$A$101,0))-INDEX('Préstamos'!$K$2:$K$101,MATCH($A340,'Préstamos'!$A$2:$A$101,0))*(INDEX('Préstamos'!$G$2:$G$101,MATCH($A340,'Préstamos'!$A$2:$A$101,0))-1),INDEX('Préstamos'!$K$2:$K$101,MATCH($A340,'Préstamos'!$A$2:$A$101,0))))</f>
        <v/>
      </c>
      <c r="H340" s="29">
        <f>IF($A340="","",F340+G340)</f>
        <v/>
      </c>
      <c r="I340" s="14" t="n"/>
      <c r="J340" s="33" t="n"/>
      <c r="K340" s="16">
        <f>IF(OR($A340="",I340="Pagado"),"",MAX(0,TODAY()-E340))</f>
        <v/>
      </c>
      <c r="L340" s="16">
        <f>IF($A340="","",IF(I340="Pagado","Pagado",IF(E340&lt;TODAY(),"Atrasado",IF(E340&lt;=EOMONTH(TODAY(),0),"Este mes","Pendiente"))))</f>
        <v/>
      </c>
      <c r="M340" s="20">
        <f>IF(OR($A340="",I340="Pagado"),"",HYPERLINK("https://wa.me/"&amp;IF(INDEX('Préstamos'!$C$2:$C$101,MATCH($A340,'Préstamos'!$A$2:$A$101,0))="","","51"&amp;SUBSTITUTE(INDEX('Préstamos'!$C$2:$C$101,MATCH($A340,'Préstamos'!$A$2:$A$101,0))," ",""))&amp;"?text="&amp;SUBSTITUTE("Hola "&amp;B340&amp;", te recuerdo que tu cuota de S/ "&amp;H340&amp;IF(E340&lt;TODAY()," vencio el "," vence el ")&amp;TEXT(E340,"dd/mm")&amp;". Gracias!"," ","%20"),"WhatsApp"))</f>
        <v/>
      </c>
    </row>
    <row r="341">
      <c r="A341" s="14" t="n"/>
      <c r="B341" s="16">
        <f>IF($A341="","",INDEX('Préstamos'!$B$2:$B$101,MATCH($A341,'Préstamos'!$A$2:$A$101,0)))</f>
        <v/>
      </c>
      <c r="C341" s="14" t="n"/>
      <c r="D341" s="14" t="n"/>
      <c r="E341" s="33" t="n"/>
      <c r="F341" s="29">
        <f>IF($A341="","",IF(D341="Solo interés",0,IF(AND(D341&lt;&gt;"Solo interés",C341=INDEX('Préstamos'!$G$2:$G$101,MATCH($A341,'Préstamos'!$A$2:$A$101,0))),INDEX('Préstamos'!$D$2:$D$101,MATCH($A341,'Préstamos'!$A$2:$A$101,0))-INDEX('Préstamos'!$J$2:$J$101,MATCH($A341,'Préstamos'!$A$2:$A$101,0))*(INDEX('Préstamos'!$G$2:$G$101,MATCH($A341,'Préstamos'!$A$2:$A$101,0))-1),INDEX('Préstamos'!$J$2:$J$101,MATCH($A341,'Préstamos'!$A$2:$A$101,0)))))</f>
        <v/>
      </c>
      <c r="G341" s="29">
        <f>IF($A341="","",IF(AND(D341&lt;&gt;"Solo interés",C341=INDEX('Préstamos'!$G$2:$G$101,MATCH($A341,'Préstamos'!$A$2:$A$101,0))),INDEX('Préstamos'!$I$2:$I$101,MATCH($A341,'Préstamos'!$A$2:$A$101,0))-INDEX('Préstamos'!$K$2:$K$101,MATCH($A341,'Préstamos'!$A$2:$A$101,0))*(INDEX('Préstamos'!$G$2:$G$101,MATCH($A341,'Préstamos'!$A$2:$A$101,0))-1),INDEX('Préstamos'!$K$2:$K$101,MATCH($A341,'Préstamos'!$A$2:$A$101,0))))</f>
        <v/>
      </c>
      <c r="H341" s="29">
        <f>IF($A341="","",F341+G341)</f>
        <v/>
      </c>
      <c r="I341" s="14" t="n"/>
      <c r="J341" s="33" t="n"/>
      <c r="K341" s="16">
        <f>IF(OR($A341="",I341="Pagado"),"",MAX(0,TODAY()-E341))</f>
        <v/>
      </c>
      <c r="L341" s="16">
        <f>IF($A341="","",IF(I341="Pagado","Pagado",IF(E341&lt;TODAY(),"Atrasado",IF(E341&lt;=EOMONTH(TODAY(),0),"Este mes","Pendiente"))))</f>
        <v/>
      </c>
      <c r="M341" s="20">
        <f>IF(OR($A341="",I341="Pagado"),"",HYPERLINK("https://wa.me/"&amp;IF(INDEX('Préstamos'!$C$2:$C$101,MATCH($A341,'Préstamos'!$A$2:$A$101,0))="","","51"&amp;SUBSTITUTE(INDEX('Préstamos'!$C$2:$C$101,MATCH($A341,'Préstamos'!$A$2:$A$101,0))," ",""))&amp;"?text="&amp;SUBSTITUTE("Hola "&amp;B341&amp;", te recuerdo que tu cuota de S/ "&amp;H341&amp;IF(E341&lt;TODAY()," vencio el "," vence el ")&amp;TEXT(E341,"dd/mm")&amp;". Gracias!"," ","%20"),"WhatsApp"))</f>
        <v/>
      </c>
    </row>
    <row r="342">
      <c r="A342" s="14" t="n"/>
      <c r="B342" s="16">
        <f>IF($A342="","",INDEX('Préstamos'!$B$2:$B$101,MATCH($A342,'Préstamos'!$A$2:$A$101,0)))</f>
        <v/>
      </c>
      <c r="C342" s="14" t="n"/>
      <c r="D342" s="14" t="n"/>
      <c r="E342" s="33" t="n"/>
      <c r="F342" s="29">
        <f>IF($A342="","",IF(D342="Solo interés",0,IF(AND(D342&lt;&gt;"Solo interés",C342=INDEX('Préstamos'!$G$2:$G$101,MATCH($A342,'Préstamos'!$A$2:$A$101,0))),INDEX('Préstamos'!$D$2:$D$101,MATCH($A342,'Préstamos'!$A$2:$A$101,0))-INDEX('Préstamos'!$J$2:$J$101,MATCH($A342,'Préstamos'!$A$2:$A$101,0))*(INDEX('Préstamos'!$G$2:$G$101,MATCH($A342,'Préstamos'!$A$2:$A$101,0))-1),INDEX('Préstamos'!$J$2:$J$101,MATCH($A342,'Préstamos'!$A$2:$A$101,0)))))</f>
        <v/>
      </c>
      <c r="G342" s="29">
        <f>IF($A342="","",IF(AND(D342&lt;&gt;"Solo interés",C342=INDEX('Préstamos'!$G$2:$G$101,MATCH($A342,'Préstamos'!$A$2:$A$101,0))),INDEX('Préstamos'!$I$2:$I$101,MATCH($A342,'Préstamos'!$A$2:$A$101,0))-INDEX('Préstamos'!$K$2:$K$101,MATCH($A342,'Préstamos'!$A$2:$A$101,0))*(INDEX('Préstamos'!$G$2:$G$101,MATCH($A342,'Préstamos'!$A$2:$A$101,0))-1),INDEX('Préstamos'!$K$2:$K$101,MATCH($A342,'Préstamos'!$A$2:$A$101,0))))</f>
        <v/>
      </c>
      <c r="H342" s="29">
        <f>IF($A342="","",F342+G342)</f>
        <v/>
      </c>
      <c r="I342" s="14" t="n"/>
      <c r="J342" s="33" t="n"/>
      <c r="K342" s="16">
        <f>IF(OR($A342="",I342="Pagado"),"",MAX(0,TODAY()-E342))</f>
        <v/>
      </c>
      <c r="L342" s="16">
        <f>IF($A342="","",IF(I342="Pagado","Pagado",IF(E342&lt;TODAY(),"Atrasado",IF(E342&lt;=EOMONTH(TODAY(),0),"Este mes","Pendiente"))))</f>
        <v/>
      </c>
      <c r="M342" s="20">
        <f>IF(OR($A342="",I342="Pagado"),"",HYPERLINK("https://wa.me/"&amp;IF(INDEX('Préstamos'!$C$2:$C$101,MATCH($A342,'Préstamos'!$A$2:$A$101,0))="","","51"&amp;SUBSTITUTE(INDEX('Préstamos'!$C$2:$C$101,MATCH($A342,'Préstamos'!$A$2:$A$101,0))," ",""))&amp;"?text="&amp;SUBSTITUTE("Hola "&amp;B342&amp;", te recuerdo que tu cuota de S/ "&amp;H342&amp;IF(E342&lt;TODAY()," vencio el "," vence el ")&amp;TEXT(E342,"dd/mm")&amp;". Gracias!"," ","%20"),"WhatsApp"))</f>
        <v/>
      </c>
    </row>
    <row r="343">
      <c r="A343" s="14" t="n"/>
      <c r="B343" s="16">
        <f>IF($A343="","",INDEX('Préstamos'!$B$2:$B$101,MATCH($A343,'Préstamos'!$A$2:$A$101,0)))</f>
        <v/>
      </c>
      <c r="C343" s="14" t="n"/>
      <c r="D343" s="14" t="n"/>
      <c r="E343" s="33" t="n"/>
      <c r="F343" s="29">
        <f>IF($A343="","",IF(D343="Solo interés",0,IF(AND(D343&lt;&gt;"Solo interés",C343=INDEX('Préstamos'!$G$2:$G$101,MATCH($A343,'Préstamos'!$A$2:$A$101,0))),INDEX('Préstamos'!$D$2:$D$101,MATCH($A343,'Préstamos'!$A$2:$A$101,0))-INDEX('Préstamos'!$J$2:$J$101,MATCH($A343,'Préstamos'!$A$2:$A$101,0))*(INDEX('Préstamos'!$G$2:$G$101,MATCH($A343,'Préstamos'!$A$2:$A$101,0))-1),INDEX('Préstamos'!$J$2:$J$101,MATCH($A343,'Préstamos'!$A$2:$A$101,0)))))</f>
        <v/>
      </c>
      <c r="G343" s="29">
        <f>IF($A343="","",IF(AND(D343&lt;&gt;"Solo interés",C343=INDEX('Préstamos'!$G$2:$G$101,MATCH($A343,'Préstamos'!$A$2:$A$101,0))),INDEX('Préstamos'!$I$2:$I$101,MATCH($A343,'Préstamos'!$A$2:$A$101,0))-INDEX('Préstamos'!$K$2:$K$101,MATCH($A343,'Préstamos'!$A$2:$A$101,0))*(INDEX('Préstamos'!$G$2:$G$101,MATCH($A343,'Préstamos'!$A$2:$A$101,0))-1),INDEX('Préstamos'!$K$2:$K$101,MATCH($A343,'Préstamos'!$A$2:$A$101,0))))</f>
        <v/>
      </c>
      <c r="H343" s="29">
        <f>IF($A343="","",F343+G343)</f>
        <v/>
      </c>
      <c r="I343" s="14" t="n"/>
      <c r="J343" s="33" t="n"/>
      <c r="K343" s="16">
        <f>IF(OR($A343="",I343="Pagado"),"",MAX(0,TODAY()-E343))</f>
        <v/>
      </c>
      <c r="L343" s="16">
        <f>IF($A343="","",IF(I343="Pagado","Pagado",IF(E343&lt;TODAY(),"Atrasado",IF(E343&lt;=EOMONTH(TODAY(),0),"Este mes","Pendiente"))))</f>
        <v/>
      </c>
      <c r="M343" s="20">
        <f>IF(OR($A343="",I343="Pagado"),"",HYPERLINK("https://wa.me/"&amp;IF(INDEX('Préstamos'!$C$2:$C$101,MATCH($A343,'Préstamos'!$A$2:$A$101,0))="","","51"&amp;SUBSTITUTE(INDEX('Préstamos'!$C$2:$C$101,MATCH($A343,'Préstamos'!$A$2:$A$101,0))," ",""))&amp;"?text="&amp;SUBSTITUTE("Hola "&amp;B343&amp;", te recuerdo que tu cuota de S/ "&amp;H343&amp;IF(E343&lt;TODAY()," vencio el "," vence el ")&amp;TEXT(E343,"dd/mm")&amp;". Gracias!"," ","%20"),"WhatsApp"))</f>
        <v/>
      </c>
    </row>
    <row r="344">
      <c r="A344" s="14" t="n"/>
      <c r="B344" s="16">
        <f>IF($A344="","",INDEX('Préstamos'!$B$2:$B$101,MATCH($A344,'Préstamos'!$A$2:$A$101,0)))</f>
        <v/>
      </c>
      <c r="C344" s="14" t="n"/>
      <c r="D344" s="14" t="n"/>
      <c r="E344" s="33" t="n"/>
      <c r="F344" s="29">
        <f>IF($A344="","",IF(D344="Solo interés",0,IF(AND(D344&lt;&gt;"Solo interés",C344=INDEX('Préstamos'!$G$2:$G$101,MATCH($A344,'Préstamos'!$A$2:$A$101,0))),INDEX('Préstamos'!$D$2:$D$101,MATCH($A344,'Préstamos'!$A$2:$A$101,0))-INDEX('Préstamos'!$J$2:$J$101,MATCH($A344,'Préstamos'!$A$2:$A$101,0))*(INDEX('Préstamos'!$G$2:$G$101,MATCH($A344,'Préstamos'!$A$2:$A$101,0))-1),INDEX('Préstamos'!$J$2:$J$101,MATCH($A344,'Préstamos'!$A$2:$A$101,0)))))</f>
        <v/>
      </c>
      <c r="G344" s="29">
        <f>IF($A344="","",IF(AND(D344&lt;&gt;"Solo interés",C344=INDEX('Préstamos'!$G$2:$G$101,MATCH($A344,'Préstamos'!$A$2:$A$101,0))),INDEX('Préstamos'!$I$2:$I$101,MATCH($A344,'Préstamos'!$A$2:$A$101,0))-INDEX('Préstamos'!$K$2:$K$101,MATCH($A344,'Préstamos'!$A$2:$A$101,0))*(INDEX('Préstamos'!$G$2:$G$101,MATCH($A344,'Préstamos'!$A$2:$A$101,0))-1),INDEX('Préstamos'!$K$2:$K$101,MATCH($A344,'Préstamos'!$A$2:$A$101,0))))</f>
        <v/>
      </c>
      <c r="H344" s="29">
        <f>IF($A344="","",F344+G344)</f>
        <v/>
      </c>
      <c r="I344" s="14" t="n"/>
      <c r="J344" s="33" t="n"/>
      <c r="K344" s="16">
        <f>IF(OR($A344="",I344="Pagado"),"",MAX(0,TODAY()-E344))</f>
        <v/>
      </c>
      <c r="L344" s="16">
        <f>IF($A344="","",IF(I344="Pagado","Pagado",IF(E344&lt;TODAY(),"Atrasado",IF(E344&lt;=EOMONTH(TODAY(),0),"Este mes","Pendiente"))))</f>
        <v/>
      </c>
      <c r="M344" s="20">
        <f>IF(OR($A344="",I344="Pagado"),"",HYPERLINK("https://wa.me/"&amp;IF(INDEX('Préstamos'!$C$2:$C$101,MATCH($A344,'Préstamos'!$A$2:$A$101,0))="","","51"&amp;SUBSTITUTE(INDEX('Préstamos'!$C$2:$C$101,MATCH($A344,'Préstamos'!$A$2:$A$101,0))," ",""))&amp;"?text="&amp;SUBSTITUTE("Hola "&amp;B344&amp;", te recuerdo que tu cuota de S/ "&amp;H344&amp;IF(E344&lt;TODAY()," vencio el "," vence el ")&amp;TEXT(E344,"dd/mm")&amp;". Gracias!"," ","%20"),"WhatsApp"))</f>
        <v/>
      </c>
    </row>
    <row r="345">
      <c r="A345" s="14" t="n"/>
      <c r="B345" s="16">
        <f>IF($A345="","",INDEX('Préstamos'!$B$2:$B$101,MATCH($A345,'Préstamos'!$A$2:$A$101,0)))</f>
        <v/>
      </c>
      <c r="C345" s="14" t="n"/>
      <c r="D345" s="14" t="n"/>
      <c r="E345" s="33" t="n"/>
      <c r="F345" s="29">
        <f>IF($A345="","",IF(D345="Solo interés",0,IF(AND(D345&lt;&gt;"Solo interés",C345=INDEX('Préstamos'!$G$2:$G$101,MATCH($A345,'Préstamos'!$A$2:$A$101,0))),INDEX('Préstamos'!$D$2:$D$101,MATCH($A345,'Préstamos'!$A$2:$A$101,0))-INDEX('Préstamos'!$J$2:$J$101,MATCH($A345,'Préstamos'!$A$2:$A$101,0))*(INDEX('Préstamos'!$G$2:$G$101,MATCH($A345,'Préstamos'!$A$2:$A$101,0))-1),INDEX('Préstamos'!$J$2:$J$101,MATCH($A345,'Préstamos'!$A$2:$A$101,0)))))</f>
        <v/>
      </c>
      <c r="G345" s="29">
        <f>IF($A345="","",IF(AND(D345&lt;&gt;"Solo interés",C345=INDEX('Préstamos'!$G$2:$G$101,MATCH($A345,'Préstamos'!$A$2:$A$101,0))),INDEX('Préstamos'!$I$2:$I$101,MATCH($A345,'Préstamos'!$A$2:$A$101,0))-INDEX('Préstamos'!$K$2:$K$101,MATCH($A345,'Préstamos'!$A$2:$A$101,0))*(INDEX('Préstamos'!$G$2:$G$101,MATCH($A345,'Préstamos'!$A$2:$A$101,0))-1),INDEX('Préstamos'!$K$2:$K$101,MATCH($A345,'Préstamos'!$A$2:$A$101,0))))</f>
        <v/>
      </c>
      <c r="H345" s="29">
        <f>IF($A345="","",F345+G345)</f>
        <v/>
      </c>
      <c r="I345" s="14" t="n"/>
      <c r="J345" s="33" t="n"/>
      <c r="K345" s="16">
        <f>IF(OR($A345="",I345="Pagado"),"",MAX(0,TODAY()-E345))</f>
        <v/>
      </c>
      <c r="L345" s="16">
        <f>IF($A345="","",IF(I345="Pagado","Pagado",IF(E345&lt;TODAY(),"Atrasado",IF(E345&lt;=EOMONTH(TODAY(),0),"Este mes","Pendiente"))))</f>
        <v/>
      </c>
      <c r="M345" s="20">
        <f>IF(OR($A345="",I345="Pagado"),"",HYPERLINK("https://wa.me/"&amp;IF(INDEX('Préstamos'!$C$2:$C$101,MATCH($A345,'Préstamos'!$A$2:$A$101,0))="","","51"&amp;SUBSTITUTE(INDEX('Préstamos'!$C$2:$C$101,MATCH($A345,'Préstamos'!$A$2:$A$101,0))," ",""))&amp;"?text="&amp;SUBSTITUTE("Hola "&amp;B345&amp;", te recuerdo que tu cuota de S/ "&amp;H345&amp;IF(E345&lt;TODAY()," vencio el "," vence el ")&amp;TEXT(E345,"dd/mm")&amp;". Gracias!"," ","%20"),"WhatsApp"))</f>
        <v/>
      </c>
    </row>
    <row r="346">
      <c r="A346" s="14" t="n"/>
      <c r="B346" s="16">
        <f>IF($A346="","",INDEX('Préstamos'!$B$2:$B$101,MATCH($A346,'Préstamos'!$A$2:$A$101,0)))</f>
        <v/>
      </c>
      <c r="C346" s="14" t="n"/>
      <c r="D346" s="14" t="n"/>
      <c r="E346" s="33" t="n"/>
      <c r="F346" s="29">
        <f>IF($A346="","",IF(D346="Solo interés",0,IF(AND(D346&lt;&gt;"Solo interés",C346=INDEX('Préstamos'!$G$2:$G$101,MATCH($A346,'Préstamos'!$A$2:$A$101,0))),INDEX('Préstamos'!$D$2:$D$101,MATCH($A346,'Préstamos'!$A$2:$A$101,0))-INDEX('Préstamos'!$J$2:$J$101,MATCH($A346,'Préstamos'!$A$2:$A$101,0))*(INDEX('Préstamos'!$G$2:$G$101,MATCH($A346,'Préstamos'!$A$2:$A$101,0))-1),INDEX('Préstamos'!$J$2:$J$101,MATCH($A346,'Préstamos'!$A$2:$A$101,0)))))</f>
        <v/>
      </c>
      <c r="G346" s="29">
        <f>IF($A346="","",IF(AND(D346&lt;&gt;"Solo interés",C346=INDEX('Préstamos'!$G$2:$G$101,MATCH($A346,'Préstamos'!$A$2:$A$101,0))),INDEX('Préstamos'!$I$2:$I$101,MATCH($A346,'Préstamos'!$A$2:$A$101,0))-INDEX('Préstamos'!$K$2:$K$101,MATCH($A346,'Préstamos'!$A$2:$A$101,0))*(INDEX('Préstamos'!$G$2:$G$101,MATCH($A346,'Préstamos'!$A$2:$A$101,0))-1),INDEX('Préstamos'!$K$2:$K$101,MATCH($A346,'Préstamos'!$A$2:$A$101,0))))</f>
        <v/>
      </c>
      <c r="H346" s="29">
        <f>IF($A346="","",F346+G346)</f>
        <v/>
      </c>
      <c r="I346" s="14" t="n"/>
      <c r="J346" s="33" t="n"/>
      <c r="K346" s="16">
        <f>IF(OR($A346="",I346="Pagado"),"",MAX(0,TODAY()-E346))</f>
        <v/>
      </c>
      <c r="L346" s="16">
        <f>IF($A346="","",IF(I346="Pagado","Pagado",IF(E346&lt;TODAY(),"Atrasado",IF(E346&lt;=EOMONTH(TODAY(),0),"Este mes","Pendiente"))))</f>
        <v/>
      </c>
      <c r="M346" s="20">
        <f>IF(OR($A346="",I346="Pagado"),"",HYPERLINK("https://wa.me/"&amp;IF(INDEX('Préstamos'!$C$2:$C$101,MATCH($A346,'Préstamos'!$A$2:$A$101,0))="","","51"&amp;SUBSTITUTE(INDEX('Préstamos'!$C$2:$C$101,MATCH($A346,'Préstamos'!$A$2:$A$101,0))," ",""))&amp;"?text="&amp;SUBSTITUTE("Hola "&amp;B346&amp;", te recuerdo que tu cuota de S/ "&amp;H346&amp;IF(E346&lt;TODAY()," vencio el "," vence el ")&amp;TEXT(E346,"dd/mm")&amp;". Gracias!"," ","%20"),"WhatsApp"))</f>
        <v/>
      </c>
    </row>
    <row r="347">
      <c r="A347" s="14" t="n"/>
      <c r="B347" s="16">
        <f>IF($A347="","",INDEX('Préstamos'!$B$2:$B$101,MATCH($A347,'Préstamos'!$A$2:$A$101,0)))</f>
        <v/>
      </c>
      <c r="C347" s="14" t="n"/>
      <c r="D347" s="14" t="n"/>
      <c r="E347" s="33" t="n"/>
      <c r="F347" s="29">
        <f>IF($A347="","",IF(D347="Solo interés",0,IF(AND(D347&lt;&gt;"Solo interés",C347=INDEX('Préstamos'!$G$2:$G$101,MATCH($A347,'Préstamos'!$A$2:$A$101,0))),INDEX('Préstamos'!$D$2:$D$101,MATCH($A347,'Préstamos'!$A$2:$A$101,0))-INDEX('Préstamos'!$J$2:$J$101,MATCH($A347,'Préstamos'!$A$2:$A$101,0))*(INDEX('Préstamos'!$G$2:$G$101,MATCH($A347,'Préstamos'!$A$2:$A$101,0))-1),INDEX('Préstamos'!$J$2:$J$101,MATCH($A347,'Préstamos'!$A$2:$A$101,0)))))</f>
        <v/>
      </c>
      <c r="G347" s="29">
        <f>IF($A347="","",IF(AND(D347&lt;&gt;"Solo interés",C347=INDEX('Préstamos'!$G$2:$G$101,MATCH($A347,'Préstamos'!$A$2:$A$101,0))),INDEX('Préstamos'!$I$2:$I$101,MATCH($A347,'Préstamos'!$A$2:$A$101,0))-INDEX('Préstamos'!$K$2:$K$101,MATCH($A347,'Préstamos'!$A$2:$A$101,0))*(INDEX('Préstamos'!$G$2:$G$101,MATCH($A347,'Préstamos'!$A$2:$A$101,0))-1),INDEX('Préstamos'!$K$2:$K$101,MATCH($A347,'Préstamos'!$A$2:$A$101,0))))</f>
        <v/>
      </c>
      <c r="H347" s="29">
        <f>IF($A347="","",F347+G347)</f>
        <v/>
      </c>
      <c r="I347" s="14" t="n"/>
      <c r="J347" s="33" t="n"/>
      <c r="K347" s="16">
        <f>IF(OR($A347="",I347="Pagado"),"",MAX(0,TODAY()-E347))</f>
        <v/>
      </c>
      <c r="L347" s="16">
        <f>IF($A347="","",IF(I347="Pagado","Pagado",IF(E347&lt;TODAY(),"Atrasado",IF(E347&lt;=EOMONTH(TODAY(),0),"Este mes","Pendiente"))))</f>
        <v/>
      </c>
      <c r="M347" s="20">
        <f>IF(OR($A347="",I347="Pagado"),"",HYPERLINK("https://wa.me/"&amp;IF(INDEX('Préstamos'!$C$2:$C$101,MATCH($A347,'Préstamos'!$A$2:$A$101,0))="","","51"&amp;SUBSTITUTE(INDEX('Préstamos'!$C$2:$C$101,MATCH($A347,'Préstamos'!$A$2:$A$101,0))," ",""))&amp;"?text="&amp;SUBSTITUTE("Hola "&amp;B347&amp;", te recuerdo que tu cuota de S/ "&amp;H347&amp;IF(E347&lt;TODAY()," vencio el "," vence el ")&amp;TEXT(E347,"dd/mm")&amp;". Gracias!"," ","%20"),"WhatsApp"))</f>
        <v/>
      </c>
    </row>
    <row r="348">
      <c r="A348" s="14" t="n"/>
      <c r="B348" s="16">
        <f>IF($A348="","",INDEX('Préstamos'!$B$2:$B$101,MATCH($A348,'Préstamos'!$A$2:$A$101,0)))</f>
        <v/>
      </c>
      <c r="C348" s="14" t="n"/>
      <c r="D348" s="14" t="n"/>
      <c r="E348" s="33" t="n"/>
      <c r="F348" s="29">
        <f>IF($A348="","",IF(D348="Solo interés",0,IF(AND(D348&lt;&gt;"Solo interés",C348=INDEX('Préstamos'!$G$2:$G$101,MATCH($A348,'Préstamos'!$A$2:$A$101,0))),INDEX('Préstamos'!$D$2:$D$101,MATCH($A348,'Préstamos'!$A$2:$A$101,0))-INDEX('Préstamos'!$J$2:$J$101,MATCH($A348,'Préstamos'!$A$2:$A$101,0))*(INDEX('Préstamos'!$G$2:$G$101,MATCH($A348,'Préstamos'!$A$2:$A$101,0))-1),INDEX('Préstamos'!$J$2:$J$101,MATCH($A348,'Préstamos'!$A$2:$A$101,0)))))</f>
        <v/>
      </c>
      <c r="G348" s="29">
        <f>IF($A348="","",IF(AND(D348&lt;&gt;"Solo interés",C348=INDEX('Préstamos'!$G$2:$G$101,MATCH($A348,'Préstamos'!$A$2:$A$101,0))),INDEX('Préstamos'!$I$2:$I$101,MATCH($A348,'Préstamos'!$A$2:$A$101,0))-INDEX('Préstamos'!$K$2:$K$101,MATCH($A348,'Préstamos'!$A$2:$A$101,0))*(INDEX('Préstamos'!$G$2:$G$101,MATCH($A348,'Préstamos'!$A$2:$A$101,0))-1),INDEX('Préstamos'!$K$2:$K$101,MATCH($A348,'Préstamos'!$A$2:$A$101,0))))</f>
        <v/>
      </c>
      <c r="H348" s="29">
        <f>IF($A348="","",F348+G348)</f>
        <v/>
      </c>
      <c r="I348" s="14" t="n"/>
      <c r="J348" s="33" t="n"/>
      <c r="K348" s="16">
        <f>IF(OR($A348="",I348="Pagado"),"",MAX(0,TODAY()-E348))</f>
        <v/>
      </c>
      <c r="L348" s="16">
        <f>IF($A348="","",IF(I348="Pagado","Pagado",IF(E348&lt;TODAY(),"Atrasado",IF(E348&lt;=EOMONTH(TODAY(),0),"Este mes","Pendiente"))))</f>
        <v/>
      </c>
      <c r="M348" s="20">
        <f>IF(OR($A348="",I348="Pagado"),"",HYPERLINK("https://wa.me/"&amp;IF(INDEX('Préstamos'!$C$2:$C$101,MATCH($A348,'Préstamos'!$A$2:$A$101,0))="","","51"&amp;SUBSTITUTE(INDEX('Préstamos'!$C$2:$C$101,MATCH($A348,'Préstamos'!$A$2:$A$101,0))," ",""))&amp;"?text="&amp;SUBSTITUTE("Hola "&amp;B348&amp;", te recuerdo que tu cuota de S/ "&amp;H348&amp;IF(E348&lt;TODAY()," vencio el "," vence el ")&amp;TEXT(E348,"dd/mm")&amp;". Gracias!"," ","%20"),"WhatsApp"))</f>
        <v/>
      </c>
    </row>
    <row r="349">
      <c r="A349" s="14" t="n"/>
      <c r="B349" s="16">
        <f>IF($A349="","",INDEX('Préstamos'!$B$2:$B$101,MATCH($A349,'Préstamos'!$A$2:$A$101,0)))</f>
        <v/>
      </c>
      <c r="C349" s="14" t="n"/>
      <c r="D349" s="14" t="n"/>
      <c r="E349" s="33" t="n"/>
      <c r="F349" s="29">
        <f>IF($A349="","",IF(D349="Solo interés",0,IF(AND(D349&lt;&gt;"Solo interés",C349=INDEX('Préstamos'!$G$2:$G$101,MATCH($A349,'Préstamos'!$A$2:$A$101,0))),INDEX('Préstamos'!$D$2:$D$101,MATCH($A349,'Préstamos'!$A$2:$A$101,0))-INDEX('Préstamos'!$J$2:$J$101,MATCH($A349,'Préstamos'!$A$2:$A$101,0))*(INDEX('Préstamos'!$G$2:$G$101,MATCH($A349,'Préstamos'!$A$2:$A$101,0))-1),INDEX('Préstamos'!$J$2:$J$101,MATCH($A349,'Préstamos'!$A$2:$A$101,0)))))</f>
        <v/>
      </c>
      <c r="G349" s="29">
        <f>IF($A349="","",IF(AND(D349&lt;&gt;"Solo interés",C349=INDEX('Préstamos'!$G$2:$G$101,MATCH($A349,'Préstamos'!$A$2:$A$101,0))),INDEX('Préstamos'!$I$2:$I$101,MATCH($A349,'Préstamos'!$A$2:$A$101,0))-INDEX('Préstamos'!$K$2:$K$101,MATCH($A349,'Préstamos'!$A$2:$A$101,0))*(INDEX('Préstamos'!$G$2:$G$101,MATCH($A349,'Préstamos'!$A$2:$A$101,0))-1),INDEX('Préstamos'!$K$2:$K$101,MATCH($A349,'Préstamos'!$A$2:$A$101,0))))</f>
        <v/>
      </c>
      <c r="H349" s="29">
        <f>IF($A349="","",F349+G349)</f>
        <v/>
      </c>
      <c r="I349" s="14" t="n"/>
      <c r="J349" s="33" t="n"/>
      <c r="K349" s="16">
        <f>IF(OR($A349="",I349="Pagado"),"",MAX(0,TODAY()-E349))</f>
        <v/>
      </c>
      <c r="L349" s="16">
        <f>IF($A349="","",IF(I349="Pagado","Pagado",IF(E349&lt;TODAY(),"Atrasado",IF(E349&lt;=EOMONTH(TODAY(),0),"Este mes","Pendiente"))))</f>
        <v/>
      </c>
      <c r="M349" s="20">
        <f>IF(OR($A349="",I349="Pagado"),"",HYPERLINK("https://wa.me/"&amp;IF(INDEX('Préstamos'!$C$2:$C$101,MATCH($A349,'Préstamos'!$A$2:$A$101,0))="","","51"&amp;SUBSTITUTE(INDEX('Préstamos'!$C$2:$C$101,MATCH($A349,'Préstamos'!$A$2:$A$101,0))," ",""))&amp;"?text="&amp;SUBSTITUTE("Hola "&amp;B349&amp;", te recuerdo que tu cuota de S/ "&amp;H349&amp;IF(E349&lt;TODAY()," vencio el "," vence el ")&amp;TEXT(E349,"dd/mm")&amp;". Gracias!"," ","%20"),"WhatsApp"))</f>
        <v/>
      </c>
    </row>
    <row r="350">
      <c r="A350" s="14" t="n"/>
      <c r="B350" s="16">
        <f>IF($A350="","",INDEX('Préstamos'!$B$2:$B$101,MATCH($A350,'Préstamos'!$A$2:$A$101,0)))</f>
        <v/>
      </c>
      <c r="C350" s="14" t="n"/>
      <c r="D350" s="14" t="n"/>
      <c r="E350" s="33" t="n"/>
      <c r="F350" s="29">
        <f>IF($A350="","",IF(D350="Solo interés",0,IF(AND(D350&lt;&gt;"Solo interés",C350=INDEX('Préstamos'!$G$2:$G$101,MATCH($A350,'Préstamos'!$A$2:$A$101,0))),INDEX('Préstamos'!$D$2:$D$101,MATCH($A350,'Préstamos'!$A$2:$A$101,0))-INDEX('Préstamos'!$J$2:$J$101,MATCH($A350,'Préstamos'!$A$2:$A$101,0))*(INDEX('Préstamos'!$G$2:$G$101,MATCH($A350,'Préstamos'!$A$2:$A$101,0))-1),INDEX('Préstamos'!$J$2:$J$101,MATCH($A350,'Préstamos'!$A$2:$A$101,0)))))</f>
        <v/>
      </c>
      <c r="G350" s="29">
        <f>IF($A350="","",IF(AND(D350&lt;&gt;"Solo interés",C350=INDEX('Préstamos'!$G$2:$G$101,MATCH($A350,'Préstamos'!$A$2:$A$101,0))),INDEX('Préstamos'!$I$2:$I$101,MATCH($A350,'Préstamos'!$A$2:$A$101,0))-INDEX('Préstamos'!$K$2:$K$101,MATCH($A350,'Préstamos'!$A$2:$A$101,0))*(INDEX('Préstamos'!$G$2:$G$101,MATCH($A350,'Préstamos'!$A$2:$A$101,0))-1),INDEX('Préstamos'!$K$2:$K$101,MATCH($A350,'Préstamos'!$A$2:$A$101,0))))</f>
        <v/>
      </c>
      <c r="H350" s="29">
        <f>IF($A350="","",F350+G350)</f>
        <v/>
      </c>
      <c r="I350" s="14" t="n"/>
      <c r="J350" s="33" t="n"/>
      <c r="K350" s="16">
        <f>IF(OR($A350="",I350="Pagado"),"",MAX(0,TODAY()-E350))</f>
        <v/>
      </c>
      <c r="L350" s="16">
        <f>IF($A350="","",IF(I350="Pagado","Pagado",IF(E350&lt;TODAY(),"Atrasado",IF(E350&lt;=EOMONTH(TODAY(),0),"Este mes","Pendiente"))))</f>
        <v/>
      </c>
      <c r="M350" s="20">
        <f>IF(OR($A350="",I350="Pagado"),"",HYPERLINK("https://wa.me/"&amp;IF(INDEX('Préstamos'!$C$2:$C$101,MATCH($A350,'Préstamos'!$A$2:$A$101,0))="","","51"&amp;SUBSTITUTE(INDEX('Préstamos'!$C$2:$C$101,MATCH($A350,'Préstamos'!$A$2:$A$101,0))," ",""))&amp;"?text="&amp;SUBSTITUTE("Hola "&amp;B350&amp;", te recuerdo que tu cuota de S/ "&amp;H350&amp;IF(E350&lt;TODAY()," vencio el "," vence el ")&amp;TEXT(E350,"dd/mm")&amp;". Gracias!"," ","%20"),"WhatsApp"))</f>
        <v/>
      </c>
    </row>
    <row r="351">
      <c r="A351" s="14" t="n"/>
      <c r="B351" s="16">
        <f>IF($A351="","",INDEX('Préstamos'!$B$2:$B$101,MATCH($A351,'Préstamos'!$A$2:$A$101,0)))</f>
        <v/>
      </c>
      <c r="C351" s="14" t="n"/>
      <c r="D351" s="14" t="n"/>
      <c r="E351" s="33" t="n"/>
      <c r="F351" s="29">
        <f>IF($A351="","",IF(D351="Solo interés",0,IF(AND(D351&lt;&gt;"Solo interés",C351=INDEX('Préstamos'!$G$2:$G$101,MATCH($A351,'Préstamos'!$A$2:$A$101,0))),INDEX('Préstamos'!$D$2:$D$101,MATCH($A351,'Préstamos'!$A$2:$A$101,0))-INDEX('Préstamos'!$J$2:$J$101,MATCH($A351,'Préstamos'!$A$2:$A$101,0))*(INDEX('Préstamos'!$G$2:$G$101,MATCH($A351,'Préstamos'!$A$2:$A$101,0))-1),INDEX('Préstamos'!$J$2:$J$101,MATCH($A351,'Préstamos'!$A$2:$A$101,0)))))</f>
        <v/>
      </c>
      <c r="G351" s="29">
        <f>IF($A351="","",IF(AND(D351&lt;&gt;"Solo interés",C351=INDEX('Préstamos'!$G$2:$G$101,MATCH($A351,'Préstamos'!$A$2:$A$101,0))),INDEX('Préstamos'!$I$2:$I$101,MATCH($A351,'Préstamos'!$A$2:$A$101,0))-INDEX('Préstamos'!$K$2:$K$101,MATCH($A351,'Préstamos'!$A$2:$A$101,0))*(INDEX('Préstamos'!$G$2:$G$101,MATCH($A351,'Préstamos'!$A$2:$A$101,0))-1),INDEX('Préstamos'!$K$2:$K$101,MATCH($A351,'Préstamos'!$A$2:$A$101,0))))</f>
        <v/>
      </c>
      <c r="H351" s="29">
        <f>IF($A351="","",F351+G351)</f>
        <v/>
      </c>
      <c r="I351" s="14" t="n"/>
      <c r="J351" s="33" t="n"/>
      <c r="K351" s="16">
        <f>IF(OR($A351="",I351="Pagado"),"",MAX(0,TODAY()-E351))</f>
        <v/>
      </c>
      <c r="L351" s="16">
        <f>IF($A351="","",IF(I351="Pagado","Pagado",IF(E351&lt;TODAY(),"Atrasado",IF(E351&lt;=EOMONTH(TODAY(),0),"Este mes","Pendiente"))))</f>
        <v/>
      </c>
      <c r="M351" s="20">
        <f>IF(OR($A351="",I351="Pagado"),"",HYPERLINK("https://wa.me/"&amp;IF(INDEX('Préstamos'!$C$2:$C$101,MATCH($A351,'Préstamos'!$A$2:$A$101,0))="","","51"&amp;SUBSTITUTE(INDEX('Préstamos'!$C$2:$C$101,MATCH($A351,'Préstamos'!$A$2:$A$101,0))," ",""))&amp;"?text="&amp;SUBSTITUTE("Hola "&amp;B351&amp;", te recuerdo que tu cuota de S/ "&amp;H351&amp;IF(E351&lt;TODAY()," vencio el "," vence el ")&amp;TEXT(E351,"dd/mm")&amp;". Gracias!"," ","%20"),"WhatsApp"))</f>
        <v/>
      </c>
    </row>
    <row r="352">
      <c r="A352" s="14" t="n"/>
      <c r="B352" s="16">
        <f>IF($A352="","",INDEX('Préstamos'!$B$2:$B$101,MATCH($A352,'Préstamos'!$A$2:$A$101,0)))</f>
        <v/>
      </c>
      <c r="C352" s="14" t="n"/>
      <c r="D352" s="14" t="n"/>
      <c r="E352" s="33" t="n"/>
      <c r="F352" s="29">
        <f>IF($A352="","",IF(D352="Solo interés",0,IF(AND(D352&lt;&gt;"Solo interés",C352=INDEX('Préstamos'!$G$2:$G$101,MATCH($A352,'Préstamos'!$A$2:$A$101,0))),INDEX('Préstamos'!$D$2:$D$101,MATCH($A352,'Préstamos'!$A$2:$A$101,0))-INDEX('Préstamos'!$J$2:$J$101,MATCH($A352,'Préstamos'!$A$2:$A$101,0))*(INDEX('Préstamos'!$G$2:$G$101,MATCH($A352,'Préstamos'!$A$2:$A$101,0))-1),INDEX('Préstamos'!$J$2:$J$101,MATCH($A352,'Préstamos'!$A$2:$A$101,0)))))</f>
        <v/>
      </c>
      <c r="G352" s="29">
        <f>IF($A352="","",IF(AND(D352&lt;&gt;"Solo interés",C352=INDEX('Préstamos'!$G$2:$G$101,MATCH($A352,'Préstamos'!$A$2:$A$101,0))),INDEX('Préstamos'!$I$2:$I$101,MATCH($A352,'Préstamos'!$A$2:$A$101,0))-INDEX('Préstamos'!$K$2:$K$101,MATCH($A352,'Préstamos'!$A$2:$A$101,0))*(INDEX('Préstamos'!$G$2:$G$101,MATCH($A352,'Préstamos'!$A$2:$A$101,0))-1),INDEX('Préstamos'!$K$2:$K$101,MATCH($A352,'Préstamos'!$A$2:$A$101,0))))</f>
        <v/>
      </c>
      <c r="H352" s="29">
        <f>IF($A352="","",F352+G352)</f>
        <v/>
      </c>
      <c r="I352" s="14" t="n"/>
      <c r="J352" s="33" t="n"/>
      <c r="K352" s="16">
        <f>IF(OR($A352="",I352="Pagado"),"",MAX(0,TODAY()-E352))</f>
        <v/>
      </c>
      <c r="L352" s="16">
        <f>IF($A352="","",IF(I352="Pagado","Pagado",IF(E352&lt;TODAY(),"Atrasado",IF(E352&lt;=EOMONTH(TODAY(),0),"Este mes","Pendiente"))))</f>
        <v/>
      </c>
      <c r="M352" s="20">
        <f>IF(OR($A352="",I352="Pagado"),"",HYPERLINK("https://wa.me/"&amp;IF(INDEX('Préstamos'!$C$2:$C$101,MATCH($A352,'Préstamos'!$A$2:$A$101,0))="","","51"&amp;SUBSTITUTE(INDEX('Préstamos'!$C$2:$C$101,MATCH($A352,'Préstamos'!$A$2:$A$101,0))," ",""))&amp;"?text="&amp;SUBSTITUTE("Hola "&amp;B352&amp;", te recuerdo que tu cuota de S/ "&amp;H352&amp;IF(E352&lt;TODAY()," vencio el "," vence el ")&amp;TEXT(E352,"dd/mm")&amp;". Gracias!"," ","%20"),"WhatsApp"))</f>
        <v/>
      </c>
    </row>
    <row r="353">
      <c r="A353" s="14" t="n"/>
      <c r="B353" s="16">
        <f>IF($A353="","",INDEX('Préstamos'!$B$2:$B$101,MATCH($A353,'Préstamos'!$A$2:$A$101,0)))</f>
        <v/>
      </c>
      <c r="C353" s="14" t="n"/>
      <c r="D353" s="14" t="n"/>
      <c r="E353" s="33" t="n"/>
      <c r="F353" s="29">
        <f>IF($A353="","",IF(D353="Solo interés",0,IF(AND(D353&lt;&gt;"Solo interés",C353=INDEX('Préstamos'!$G$2:$G$101,MATCH($A353,'Préstamos'!$A$2:$A$101,0))),INDEX('Préstamos'!$D$2:$D$101,MATCH($A353,'Préstamos'!$A$2:$A$101,0))-INDEX('Préstamos'!$J$2:$J$101,MATCH($A353,'Préstamos'!$A$2:$A$101,0))*(INDEX('Préstamos'!$G$2:$G$101,MATCH($A353,'Préstamos'!$A$2:$A$101,0))-1),INDEX('Préstamos'!$J$2:$J$101,MATCH($A353,'Préstamos'!$A$2:$A$101,0)))))</f>
        <v/>
      </c>
      <c r="G353" s="29">
        <f>IF($A353="","",IF(AND(D353&lt;&gt;"Solo interés",C353=INDEX('Préstamos'!$G$2:$G$101,MATCH($A353,'Préstamos'!$A$2:$A$101,0))),INDEX('Préstamos'!$I$2:$I$101,MATCH($A353,'Préstamos'!$A$2:$A$101,0))-INDEX('Préstamos'!$K$2:$K$101,MATCH($A353,'Préstamos'!$A$2:$A$101,0))*(INDEX('Préstamos'!$G$2:$G$101,MATCH($A353,'Préstamos'!$A$2:$A$101,0))-1),INDEX('Préstamos'!$K$2:$K$101,MATCH($A353,'Préstamos'!$A$2:$A$101,0))))</f>
        <v/>
      </c>
      <c r="H353" s="29">
        <f>IF($A353="","",F353+G353)</f>
        <v/>
      </c>
      <c r="I353" s="14" t="n"/>
      <c r="J353" s="33" t="n"/>
      <c r="K353" s="16">
        <f>IF(OR($A353="",I353="Pagado"),"",MAX(0,TODAY()-E353))</f>
        <v/>
      </c>
      <c r="L353" s="16">
        <f>IF($A353="","",IF(I353="Pagado","Pagado",IF(E353&lt;TODAY(),"Atrasado",IF(E353&lt;=EOMONTH(TODAY(),0),"Este mes","Pendiente"))))</f>
        <v/>
      </c>
      <c r="M353" s="20">
        <f>IF(OR($A353="",I353="Pagado"),"",HYPERLINK("https://wa.me/"&amp;IF(INDEX('Préstamos'!$C$2:$C$101,MATCH($A353,'Préstamos'!$A$2:$A$101,0))="","","51"&amp;SUBSTITUTE(INDEX('Préstamos'!$C$2:$C$101,MATCH($A353,'Préstamos'!$A$2:$A$101,0))," ",""))&amp;"?text="&amp;SUBSTITUTE("Hola "&amp;B353&amp;", te recuerdo que tu cuota de S/ "&amp;H353&amp;IF(E353&lt;TODAY()," vencio el "," vence el ")&amp;TEXT(E353,"dd/mm")&amp;". Gracias!"," ","%20"),"WhatsApp"))</f>
        <v/>
      </c>
    </row>
    <row r="354">
      <c r="A354" s="14" t="n"/>
      <c r="B354" s="16">
        <f>IF($A354="","",INDEX('Préstamos'!$B$2:$B$101,MATCH($A354,'Préstamos'!$A$2:$A$101,0)))</f>
        <v/>
      </c>
      <c r="C354" s="14" t="n"/>
      <c r="D354" s="14" t="n"/>
      <c r="E354" s="33" t="n"/>
      <c r="F354" s="29">
        <f>IF($A354="","",IF(D354="Solo interés",0,IF(AND(D354&lt;&gt;"Solo interés",C354=INDEX('Préstamos'!$G$2:$G$101,MATCH($A354,'Préstamos'!$A$2:$A$101,0))),INDEX('Préstamos'!$D$2:$D$101,MATCH($A354,'Préstamos'!$A$2:$A$101,0))-INDEX('Préstamos'!$J$2:$J$101,MATCH($A354,'Préstamos'!$A$2:$A$101,0))*(INDEX('Préstamos'!$G$2:$G$101,MATCH($A354,'Préstamos'!$A$2:$A$101,0))-1),INDEX('Préstamos'!$J$2:$J$101,MATCH($A354,'Préstamos'!$A$2:$A$101,0)))))</f>
        <v/>
      </c>
      <c r="G354" s="29">
        <f>IF($A354="","",IF(AND(D354&lt;&gt;"Solo interés",C354=INDEX('Préstamos'!$G$2:$G$101,MATCH($A354,'Préstamos'!$A$2:$A$101,0))),INDEX('Préstamos'!$I$2:$I$101,MATCH($A354,'Préstamos'!$A$2:$A$101,0))-INDEX('Préstamos'!$K$2:$K$101,MATCH($A354,'Préstamos'!$A$2:$A$101,0))*(INDEX('Préstamos'!$G$2:$G$101,MATCH($A354,'Préstamos'!$A$2:$A$101,0))-1),INDEX('Préstamos'!$K$2:$K$101,MATCH($A354,'Préstamos'!$A$2:$A$101,0))))</f>
        <v/>
      </c>
      <c r="H354" s="29">
        <f>IF($A354="","",F354+G354)</f>
        <v/>
      </c>
      <c r="I354" s="14" t="n"/>
      <c r="J354" s="33" t="n"/>
      <c r="K354" s="16">
        <f>IF(OR($A354="",I354="Pagado"),"",MAX(0,TODAY()-E354))</f>
        <v/>
      </c>
      <c r="L354" s="16">
        <f>IF($A354="","",IF(I354="Pagado","Pagado",IF(E354&lt;TODAY(),"Atrasado",IF(E354&lt;=EOMONTH(TODAY(),0),"Este mes","Pendiente"))))</f>
        <v/>
      </c>
      <c r="M354" s="20">
        <f>IF(OR($A354="",I354="Pagado"),"",HYPERLINK("https://wa.me/"&amp;IF(INDEX('Préstamos'!$C$2:$C$101,MATCH($A354,'Préstamos'!$A$2:$A$101,0))="","","51"&amp;SUBSTITUTE(INDEX('Préstamos'!$C$2:$C$101,MATCH($A354,'Préstamos'!$A$2:$A$101,0))," ",""))&amp;"?text="&amp;SUBSTITUTE("Hola "&amp;B354&amp;", te recuerdo que tu cuota de S/ "&amp;H354&amp;IF(E354&lt;TODAY()," vencio el "," vence el ")&amp;TEXT(E354,"dd/mm")&amp;". Gracias!"," ","%20"),"WhatsApp"))</f>
        <v/>
      </c>
    </row>
    <row r="355">
      <c r="A355" s="14" t="n"/>
      <c r="B355" s="16">
        <f>IF($A355="","",INDEX('Préstamos'!$B$2:$B$101,MATCH($A355,'Préstamos'!$A$2:$A$101,0)))</f>
        <v/>
      </c>
      <c r="C355" s="14" t="n"/>
      <c r="D355" s="14" t="n"/>
      <c r="E355" s="33" t="n"/>
      <c r="F355" s="29">
        <f>IF($A355="","",IF(D355="Solo interés",0,IF(AND(D355&lt;&gt;"Solo interés",C355=INDEX('Préstamos'!$G$2:$G$101,MATCH($A355,'Préstamos'!$A$2:$A$101,0))),INDEX('Préstamos'!$D$2:$D$101,MATCH($A355,'Préstamos'!$A$2:$A$101,0))-INDEX('Préstamos'!$J$2:$J$101,MATCH($A355,'Préstamos'!$A$2:$A$101,0))*(INDEX('Préstamos'!$G$2:$G$101,MATCH($A355,'Préstamos'!$A$2:$A$101,0))-1),INDEX('Préstamos'!$J$2:$J$101,MATCH($A355,'Préstamos'!$A$2:$A$101,0)))))</f>
        <v/>
      </c>
      <c r="G355" s="29">
        <f>IF($A355="","",IF(AND(D355&lt;&gt;"Solo interés",C355=INDEX('Préstamos'!$G$2:$G$101,MATCH($A355,'Préstamos'!$A$2:$A$101,0))),INDEX('Préstamos'!$I$2:$I$101,MATCH($A355,'Préstamos'!$A$2:$A$101,0))-INDEX('Préstamos'!$K$2:$K$101,MATCH($A355,'Préstamos'!$A$2:$A$101,0))*(INDEX('Préstamos'!$G$2:$G$101,MATCH($A355,'Préstamos'!$A$2:$A$101,0))-1),INDEX('Préstamos'!$K$2:$K$101,MATCH($A355,'Préstamos'!$A$2:$A$101,0))))</f>
        <v/>
      </c>
      <c r="H355" s="29">
        <f>IF($A355="","",F355+G355)</f>
        <v/>
      </c>
      <c r="I355" s="14" t="n"/>
      <c r="J355" s="33" t="n"/>
      <c r="K355" s="16">
        <f>IF(OR($A355="",I355="Pagado"),"",MAX(0,TODAY()-E355))</f>
        <v/>
      </c>
      <c r="L355" s="16">
        <f>IF($A355="","",IF(I355="Pagado","Pagado",IF(E355&lt;TODAY(),"Atrasado",IF(E355&lt;=EOMONTH(TODAY(),0),"Este mes","Pendiente"))))</f>
        <v/>
      </c>
      <c r="M355" s="20">
        <f>IF(OR($A355="",I355="Pagado"),"",HYPERLINK("https://wa.me/"&amp;IF(INDEX('Préstamos'!$C$2:$C$101,MATCH($A355,'Préstamos'!$A$2:$A$101,0))="","","51"&amp;SUBSTITUTE(INDEX('Préstamos'!$C$2:$C$101,MATCH($A355,'Préstamos'!$A$2:$A$101,0))," ",""))&amp;"?text="&amp;SUBSTITUTE("Hola "&amp;B355&amp;", te recuerdo que tu cuota de S/ "&amp;H355&amp;IF(E355&lt;TODAY()," vencio el "," vence el ")&amp;TEXT(E355,"dd/mm")&amp;". Gracias!"," ","%20"),"WhatsApp"))</f>
        <v/>
      </c>
    </row>
    <row r="356">
      <c r="A356" s="14" t="n"/>
      <c r="B356" s="16">
        <f>IF($A356="","",INDEX('Préstamos'!$B$2:$B$101,MATCH($A356,'Préstamos'!$A$2:$A$101,0)))</f>
        <v/>
      </c>
      <c r="C356" s="14" t="n"/>
      <c r="D356" s="14" t="n"/>
      <c r="E356" s="33" t="n"/>
      <c r="F356" s="29">
        <f>IF($A356="","",IF(D356="Solo interés",0,IF(AND(D356&lt;&gt;"Solo interés",C356=INDEX('Préstamos'!$G$2:$G$101,MATCH($A356,'Préstamos'!$A$2:$A$101,0))),INDEX('Préstamos'!$D$2:$D$101,MATCH($A356,'Préstamos'!$A$2:$A$101,0))-INDEX('Préstamos'!$J$2:$J$101,MATCH($A356,'Préstamos'!$A$2:$A$101,0))*(INDEX('Préstamos'!$G$2:$G$101,MATCH($A356,'Préstamos'!$A$2:$A$101,0))-1),INDEX('Préstamos'!$J$2:$J$101,MATCH($A356,'Préstamos'!$A$2:$A$101,0)))))</f>
        <v/>
      </c>
      <c r="G356" s="29">
        <f>IF($A356="","",IF(AND(D356&lt;&gt;"Solo interés",C356=INDEX('Préstamos'!$G$2:$G$101,MATCH($A356,'Préstamos'!$A$2:$A$101,0))),INDEX('Préstamos'!$I$2:$I$101,MATCH($A356,'Préstamos'!$A$2:$A$101,0))-INDEX('Préstamos'!$K$2:$K$101,MATCH($A356,'Préstamos'!$A$2:$A$101,0))*(INDEX('Préstamos'!$G$2:$G$101,MATCH($A356,'Préstamos'!$A$2:$A$101,0))-1),INDEX('Préstamos'!$K$2:$K$101,MATCH($A356,'Préstamos'!$A$2:$A$101,0))))</f>
        <v/>
      </c>
      <c r="H356" s="29">
        <f>IF($A356="","",F356+G356)</f>
        <v/>
      </c>
      <c r="I356" s="14" t="n"/>
      <c r="J356" s="33" t="n"/>
      <c r="K356" s="16">
        <f>IF(OR($A356="",I356="Pagado"),"",MAX(0,TODAY()-E356))</f>
        <v/>
      </c>
      <c r="L356" s="16">
        <f>IF($A356="","",IF(I356="Pagado","Pagado",IF(E356&lt;TODAY(),"Atrasado",IF(E356&lt;=EOMONTH(TODAY(),0),"Este mes","Pendiente"))))</f>
        <v/>
      </c>
      <c r="M356" s="20">
        <f>IF(OR($A356="",I356="Pagado"),"",HYPERLINK("https://wa.me/"&amp;IF(INDEX('Préstamos'!$C$2:$C$101,MATCH($A356,'Préstamos'!$A$2:$A$101,0))="","","51"&amp;SUBSTITUTE(INDEX('Préstamos'!$C$2:$C$101,MATCH($A356,'Préstamos'!$A$2:$A$101,0))," ",""))&amp;"?text="&amp;SUBSTITUTE("Hola "&amp;B356&amp;", te recuerdo que tu cuota de S/ "&amp;H356&amp;IF(E356&lt;TODAY()," vencio el "," vence el ")&amp;TEXT(E356,"dd/mm")&amp;". Gracias!"," ","%20"),"WhatsApp"))</f>
        <v/>
      </c>
    </row>
    <row r="357">
      <c r="A357" s="14" t="n"/>
      <c r="B357" s="16">
        <f>IF($A357="","",INDEX('Préstamos'!$B$2:$B$101,MATCH($A357,'Préstamos'!$A$2:$A$101,0)))</f>
        <v/>
      </c>
      <c r="C357" s="14" t="n"/>
      <c r="D357" s="14" t="n"/>
      <c r="E357" s="33" t="n"/>
      <c r="F357" s="29">
        <f>IF($A357="","",IF(D357="Solo interés",0,IF(AND(D357&lt;&gt;"Solo interés",C357=INDEX('Préstamos'!$G$2:$G$101,MATCH($A357,'Préstamos'!$A$2:$A$101,0))),INDEX('Préstamos'!$D$2:$D$101,MATCH($A357,'Préstamos'!$A$2:$A$101,0))-INDEX('Préstamos'!$J$2:$J$101,MATCH($A357,'Préstamos'!$A$2:$A$101,0))*(INDEX('Préstamos'!$G$2:$G$101,MATCH($A357,'Préstamos'!$A$2:$A$101,0))-1),INDEX('Préstamos'!$J$2:$J$101,MATCH($A357,'Préstamos'!$A$2:$A$101,0)))))</f>
        <v/>
      </c>
      <c r="G357" s="29">
        <f>IF($A357="","",IF(AND(D357&lt;&gt;"Solo interés",C357=INDEX('Préstamos'!$G$2:$G$101,MATCH($A357,'Préstamos'!$A$2:$A$101,0))),INDEX('Préstamos'!$I$2:$I$101,MATCH($A357,'Préstamos'!$A$2:$A$101,0))-INDEX('Préstamos'!$K$2:$K$101,MATCH($A357,'Préstamos'!$A$2:$A$101,0))*(INDEX('Préstamos'!$G$2:$G$101,MATCH($A357,'Préstamos'!$A$2:$A$101,0))-1),INDEX('Préstamos'!$K$2:$K$101,MATCH($A357,'Préstamos'!$A$2:$A$101,0))))</f>
        <v/>
      </c>
      <c r="H357" s="29">
        <f>IF($A357="","",F357+G357)</f>
        <v/>
      </c>
      <c r="I357" s="14" t="n"/>
      <c r="J357" s="33" t="n"/>
      <c r="K357" s="16">
        <f>IF(OR($A357="",I357="Pagado"),"",MAX(0,TODAY()-E357))</f>
        <v/>
      </c>
      <c r="L357" s="16">
        <f>IF($A357="","",IF(I357="Pagado","Pagado",IF(E357&lt;TODAY(),"Atrasado",IF(E357&lt;=EOMONTH(TODAY(),0),"Este mes","Pendiente"))))</f>
        <v/>
      </c>
      <c r="M357" s="20">
        <f>IF(OR($A357="",I357="Pagado"),"",HYPERLINK("https://wa.me/"&amp;IF(INDEX('Préstamos'!$C$2:$C$101,MATCH($A357,'Préstamos'!$A$2:$A$101,0))="","","51"&amp;SUBSTITUTE(INDEX('Préstamos'!$C$2:$C$101,MATCH($A357,'Préstamos'!$A$2:$A$101,0))," ",""))&amp;"?text="&amp;SUBSTITUTE("Hola "&amp;B357&amp;", te recuerdo que tu cuota de S/ "&amp;H357&amp;IF(E357&lt;TODAY()," vencio el "," vence el ")&amp;TEXT(E357,"dd/mm")&amp;". Gracias!"," ","%20"),"WhatsApp"))</f>
        <v/>
      </c>
    </row>
    <row r="358">
      <c r="A358" s="14" t="n"/>
      <c r="B358" s="16">
        <f>IF($A358="","",INDEX('Préstamos'!$B$2:$B$101,MATCH($A358,'Préstamos'!$A$2:$A$101,0)))</f>
        <v/>
      </c>
      <c r="C358" s="14" t="n"/>
      <c r="D358" s="14" t="n"/>
      <c r="E358" s="33" t="n"/>
      <c r="F358" s="29">
        <f>IF($A358="","",IF(D358="Solo interés",0,IF(AND(D358&lt;&gt;"Solo interés",C358=INDEX('Préstamos'!$G$2:$G$101,MATCH($A358,'Préstamos'!$A$2:$A$101,0))),INDEX('Préstamos'!$D$2:$D$101,MATCH($A358,'Préstamos'!$A$2:$A$101,0))-INDEX('Préstamos'!$J$2:$J$101,MATCH($A358,'Préstamos'!$A$2:$A$101,0))*(INDEX('Préstamos'!$G$2:$G$101,MATCH($A358,'Préstamos'!$A$2:$A$101,0))-1),INDEX('Préstamos'!$J$2:$J$101,MATCH($A358,'Préstamos'!$A$2:$A$101,0)))))</f>
        <v/>
      </c>
      <c r="G358" s="29">
        <f>IF($A358="","",IF(AND(D358&lt;&gt;"Solo interés",C358=INDEX('Préstamos'!$G$2:$G$101,MATCH($A358,'Préstamos'!$A$2:$A$101,0))),INDEX('Préstamos'!$I$2:$I$101,MATCH($A358,'Préstamos'!$A$2:$A$101,0))-INDEX('Préstamos'!$K$2:$K$101,MATCH($A358,'Préstamos'!$A$2:$A$101,0))*(INDEX('Préstamos'!$G$2:$G$101,MATCH($A358,'Préstamos'!$A$2:$A$101,0))-1),INDEX('Préstamos'!$K$2:$K$101,MATCH($A358,'Préstamos'!$A$2:$A$101,0))))</f>
        <v/>
      </c>
      <c r="H358" s="29">
        <f>IF($A358="","",F358+G358)</f>
        <v/>
      </c>
      <c r="I358" s="14" t="n"/>
      <c r="J358" s="33" t="n"/>
      <c r="K358" s="16">
        <f>IF(OR($A358="",I358="Pagado"),"",MAX(0,TODAY()-E358))</f>
        <v/>
      </c>
      <c r="L358" s="16">
        <f>IF($A358="","",IF(I358="Pagado","Pagado",IF(E358&lt;TODAY(),"Atrasado",IF(E358&lt;=EOMONTH(TODAY(),0),"Este mes","Pendiente"))))</f>
        <v/>
      </c>
      <c r="M358" s="20">
        <f>IF(OR($A358="",I358="Pagado"),"",HYPERLINK("https://wa.me/"&amp;IF(INDEX('Préstamos'!$C$2:$C$101,MATCH($A358,'Préstamos'!$A$2:$A$101,0))="","","51"&amp;SUBSTITUTE(INDEX('Préstamos'!$C$2:$C$101,MATCH($A358,'Préstamos'!$A$2:$A$101,0))," ",""))&amp;"?text="&amp;SUBSTITUTE("Hola "&amp;B358&amp;", te recuerdo que tu cuota de S/ "&amp;H358&amp;IF(E358&lt;TODAY()," vencio el "," vence el ")&amp;TEXT(E358,"dd/mm")&amp;". Gracias!"," ","%20"),"WhatsApp"))</f>
        <v/>
      </c>
    </row>
    <row r="359">
      <c r="A359" s="14" t="n"/>
      <c r="B359" s="16">
        <f>IF($A359="","",INDEX('Préstamos'!$B$2:$B$101,MATCH($A359,'Préstamos'!$A$2:$A$101,0)))</f>
        <v/>
      </c>
      <c r="C359" s="14" t="n"/>
      <c r="D359" s="14" t="n"/>
      <c r="E359" s="33" t="n"/>
      <c r="F359" s="29">
        <f>IF($A359="","",IF(D359="Solo interés",0,IF(AND(D359&lt;&gt;"Solo interés",C359=INDEX('Préstamos'!$G$2:$G$101,MATCH($A359,'Préstamos'!$A$2:$A$101,0))),INDEX('Préstamos'!$D$2:$D$101,MATCH($A359,'Préstamos'!$A$2:$A$101,0))-INDEX('Préstamos'!$J$2:$J$101,MATCH($A359,'Préstamos'!$A$2:$A$101,0))*(INDEX('Préstamos'!$G$2:$G$101,MATCH($A359,'Préstamos'!$A$2:$A$101,0))-1),INDEX('Préstamos'!$J$2:$J$101,MATCH($A359,'Préstamos'!$A$2:$A$101,0)))))</f>
        <v/>
      </c>
      <c r="G359" s="29">
        <f>IF($A359="","",IF(AND(D359&lt;&gt;"Solo interés",C359=INDEX('Préstamos'!$G$2:$G$101,MATCH($A359,'Préstamos'!$A$2:$A$101,0))),INDEX('Préstamos'!$I$2:$I$101,MATCH($A359,'Préstamos'!$A$2:$A$101,0))-INDEX('Préstamos'!$K$2:$K$101,MATCH($A359,'Préstamos'!$A$2:$A$101,0))*(INDEX('Préstamos'!$G$2:$G$101,MATCH($A359,'Préstamos'!$A$2:$A$101,0))-1),INDEX('Préstamos'!$K$2:$K$101,MATCH($A359,'Préstamos'!$A$2:$A$101,0))))</f>
        <v/>
      </c>
      <c r="H359" s="29">
        <f>IF($A359="","",F359+G359)</f>
        <v/>
      </c>
      <c r="I359" s="14" t="n"/>
      <c r="J359" s="33" t="n"/>
      <c r="K359" s="16">
        <f>IF(OR($A359="",I359="Pagado"),"",MAX(0,TODAY()-E359))</f>
        <v/>
      </c>
      <c r="L359" s="16">
        <f>IF($A359="","",IF(I359="Pagado","Pagado",IF(E359&lt;TODAY(),"Atrasado",IF(E359&lt;=EOMONTH(TODAY(),0),"Este mes","Pendiente"))))</f>
        <v/>
      </c>
      <c r="M359" s="20">
        <f>IF(OR($A359="",I359="Pagado"),"",HYPERLINK("https://wa.me/"&amp;IF(INDEX('Préstamos'!$C$2:$C$101,MATCH($A359,'Préstamos'!$A$2:$A$101,0))="","","51"&amp;SUBSTITUTE(INDEX('Préstamos'!$C$2:$C$101,MATCH($A359,'Préstamos'!$A$2:$A$101,0))," ",""))&amp;"?text="&amp;SUBSTITUTE("Hola "&amp;B359&amp;", te recuerdo que tu cuota de S/ "&amp;H359&amp;IF(E359&lt;TODAY()," vencio el "," vence el ")&amp;TEXT(E359,"dd/mm")&amp;". Gracias!"," ","%20"),"WhatsApp"))</f>
        <v/>
      </c>
    </row>
    <row r="360">
      <c r="A360" s="14" t="n"/>
      <c r="B360" s="16">
        <f>IF($A360="","",INDEX('Préstamos'!$B$2:$B$101,MATCH($A360,'Préstamos'!$A$2:$A$101,0)))</f>
        <v/>
      </c>
      <c r="C360" s="14" t="n"/>
      <c r="D360" s="14" t="n"/>
      <c r="E360" s="33" t="n"/>
      <c r="F360" s="29">
        <f>IF($A360="","",IF(D360="Solo interés",0,IF(AND(D360&lt;&gt;"Solo interés",C360=INDEX('Préstamos'!$G$2:$G$101,MATCH($A360,'Préstamos'!$A$2:$A$101,0))),INDEX('Préstamos'!$D$2:$D$101,MATCH($A360,'Préstamos'!$A$2:$A$101,0))-INDEX('Préstamos'!$J$2:$J$101,MATCH($A360,'Préstamos'!$A$2:$A$101,0))*(INDEX('Préstamos'!$G$2:$G$101,MATCH($A360,'Préstamos'!$A$2:$A$101,0))-1),INDEX('Préstamos'!$J$2:$J$101,MATCH($A360,'Préstamos'!$A$2:$A$101,0)))))</f>
        <v/>
      </c>
      <c r="G360" s="29">
        <f>IF($A360="","",IF(AND(D360&lt;&gt;"Solo interés",C360=INDEX('Préstamos'!$G$2:$G$101,MATCH($A360,'Préstamos'!$A$2:$A$101,0))),INDEX('Préstamos'!$I$2:$I$101,MATCH($A360,'Préstamos'!$A$2:$A$101,0))-INDEX('Préstamos'!$K$2:$K$101,MATCH($A360,'Préstamos'!$A$2:$A$101,0))*(INDEX('Préstamos'!$G$2:$G$101,MATCH($A360,'Préstamos'!$A$2:$A$101,0))-1),INDEX('Préstamos'!$K$2:$K$101,MATCH($A360,'Préstamos'!$A$2:$A$101,0))))</f>
        <v/>
      </c>
      <c r="H360" s="29">
        <f>IF($A360="","",F360+G360)</f>
        <v/>
      </c>
      <c r="I360" s="14" t="n"/>
      <c r="J360" s="33" t="n"/>
      <c r="K360" s="16">
        <f>IF(OR($A360="",I360="Pagado"),"",MAX(0,TODAY()-E360))</f>
        <v/>
      </c>
      <c r="L360" s="16">
        <f>IF($A360="","",IF(I360="Pagado","Pagado",IF(E360&lt;TODAY(),"Atrasado",IF(E360&lt;=EOMONTH(TODAY(),0),"Este mes","Pendiente"))))</f>
        <v/>
      </c>
      <c r="M360" s="20">
        <f>IF(OR($A360="",I360="Pagado"),"",HYPERLINK("https://wa.me/"&amp;IF(INDEX('Préstamos'!$C$2:$C$101,MATCH($A360,'Préstamos'!$A$2:$A$101,0))="","","51"&amp;SUBSTITUTE(INDEX('Préstamos'!$C$2:$C$101,MATCH($A360,'Préstamos'!$A$2:$A$101,0))," ",""))&amp;"?text="&amp;SUBSTITUTE("Hola "&amp;B360&amp;", te recuerdo que tu cuota de S/ "&amp;H360&amp;IF(E360&lt;TODAY()," vencio el "," vence el ")&amp;TEXT(E360,"dd/mm")&amp;". Gracias!"," ","%20"),"WhatsApp"))</f>
        <v/>
      </c>
    </row>
    <row r="361">
      <c r="A361" s="14" t="n"/>
      <c r="B361" s="16">
        <f>IF($A361="","",INDEX('Préstamos'!$B$2:$B$101,MATCH($A361,'Préstamos'!$A$2:$A$101,0)))</f>
        <v/>
      </c>
      <c r="C361" s="14" t="n"/>
      <c r="D361" s="14" t="n"/>
      <c r="E361" s="33" t="n"/>
      <c r="F361" s="29">
        <f>IF($A361="","",IF(D361="Solo interés",0,IF(AND(D361&lt;&gt;"Solo interés",C361=INDEX('Préstamos'!$G$2:$G$101,MATCH($A361,'Préstamos'!$A$2:$A$101,0))),INDEX('Préstamos'!$D$2:$D$101,MATCH($A361,'Préstamos'!$A$2:$A$101,0))-INDEX('Préstamos'!$J$2:$J$101,MATCH($A361,'Préstamos'!$A$2:$A$101,0))*(INDEX('Préstamos'!$G$2:$G$101,MATCH($A361,'Préstamos'!$A$2:$A$101,0))-1),INDEX('Préstamos'!$J$2:$J$101,MATCH($A361,'Préstamos'!$A$2:$A$101,0)))))</f>
        <v/>
      </c>
      <c r="G361" s="29">
        <f>IF($A361="","",IF(AND(D361&lt;&gt;"Solo interés",C361=INDEX('Préstamos'!$G$2:$G$101,MATCH($A361,'Préstamos'!$A$2:$A$101,0))),INDEX('Préstamos'!$I$2:$I$101,MATCH($A361,'Préstamos'!$A$2:$A$101,0))-INDEX('Préstamos'!$K$2:$K$101,MATCH($A361,'Préstamos'!$A$2:$A$101,0))*(INDEX('Préstamos'!$G$2:$G$101,MATCH($A361,'Préstamos'!$A$2:$A$101,0))-1),INDEX('Préstamos'!$K$2:$K$101,MATCH($A361,'Préstamos'!$A$2:$A$101,0))))</f>
        <v/>
      </c>
      <c r="H361" s="29">
        <f>IF($A361="","",F361+G361)</f>
        <v/>
      </c>
      <c r="I361" s="14" t="n"/>
      <c r="J361" s="33" t="n"/>
      <c r="K361" s="16">
        <f>IF(OR($A361="",I361="Pagado"),"",MAX(0,TODAY()-E361))</f>
        <v/>
      </c>
      <c r="L361" s="16">
        <f>IF($A361="","",IF(I361="Pagado","Pagado",IF(E361&lt;TODAY(),"Atrasado",IF(E361&lt;=EOMONTH(TODAY(),0),"Este mes","Pendiente"))))</f>
        <v/>
      </c>
      <c r="M361" s="20">
        <f>IF(OR($A361="",I361="Pagado"),"",HYPERLINK("https://wa.me/"&amp;IF(INDEX('Préstamos'!$C$2:$C$101,MATCH($A361,'Préstamos'!$A$2:$A$101,0))="","","51"&amp;SUBSTITUTE(INDEX('Préstamos'!$C$2:$C$101,MATCH($A361,'Préstamos'!$A$2:$A$101,0))," ",""))&amp;"?text="&amp;SUBSTITUTE("Hola "&amp;B361&amp;", te recuerdo que tu cuota de S/ "&amp;H361&amp;IF(E361&lt;TODAY()," vencio el "," vence el ")&amp;TEXT(E361,"dd/mm")&amp;". Gracias!"," ","%20"),"WhatsApp"))</f>
        <v/>
      </c>
    </row>
    <row r="362">
      <c r="A362" s="14" t="n"/>
      <c r="B362" s="16">
        <f>IF($A362="","",INDEX('Préstamos'!$B$2:$B$101,MATCH($A362,'Préstamos'!$A$2:$A$101,0)))</f>
        <v/>
      </c>
      <c r="C362" s="14" t="n"/>
      <c r="D362" s="14" t="n"/>
      <c r="E362" s="33" t="n"/>
      <c r="F362" s="29">
        <f>IF($A362="","",IF(D362="Solo interés",0,IF(AND(D362&lt;&gt;"Solo interés",C362=INDEX('Préstamos'!$G$2:$G$101,MATCH($A362,'Préstamos'!$A$2:$A$101,0))),INDEX('Préstamos'!$D$2:$D$101,MATCH($A362,'Préstamos'!$A$2:$A$101,0))-INDEX('Préstamos'!$J$2:$J$101,MATCH($A362,'Préstamos'!$A$2:$A$101,0))*(INDEX('Préstamos'!$G$2:$G$101,MATCH($A362,'Préstamos'!$A$2:$A$101,0))-1),INDEX('Préstamos'!$J$2:$J$101,MATCH($A362,'Préstamos'!$A$2:$A$101,0)))))</f>
        <v/>
      </c>
      <c r="G362" s="29">
        <f>IF($A362="","",IF(AND(D362&lt;&gt;"Solo interés",C362=INDEX('Préstamos'!$G$2:$G$101,MATCH($A362,'Préstamos'!$A$2:$A$101,0))),INDEX('Préstamos'!$I$2:$I$101,MATCH($A362,'Préstamos'!$A$2:$A$101,0))-INDEX('Préstamos'!$K$2:$K$101,MATCH($A362,'Préstamos'!$A$2:$A$101,0))*(INDEX('Préstamos'!$G$2:$G$101,MATCH($A362,'Préstamos'!$A$2:$A$101,0))-1),INDEX('Préstamos'!$K$2:$K$101,MATCH($A362,'Préstamos'!$A$2:$A$101,0))))</f>
        <v/>
      </c>
      <c r="H362" s="29">
        <f>IF($A362="","",F362+G362)</f>
        <v/>
      </c>
      <c r="I362" s="14" t="n"/>
      <c r="J362" s="33" t="n"/>
      <c r="K362" s="16">
        <f>IF(OR($A362="",I362="Pagado"),"",MAX(0,TODAY()-E362))</f>
        <v/>
      </c>
      <c r="L362" s="16">
        <f>IF($A362="","",IF(I362="Pagado","Pagado",IF(E362&lt;TODAY(),"Atrasado",IF(E362&lt;=EOMONTH(TODAY(),0),"Este mes","Pendiente"))))</f>
        <v/>
      </c>
      <c r="M362" s="20">
        <f>IF(OR($A362="",I362="Pagado"),"",HYPERLINK("https://wa.me/"&amp;IF(INDEX('Préstamos'!$C$2:$C$101,MATCH($A362,'Préstamos'!$A$2:$A$101,0))="","","51"&amp;SUBSTITUTE(INDEX('Préstamos'!$C$2:$C$101,MATCH($A362,'Préstamos'!$A$2:$A$101,0))," ",""))&amp;"?text="&amp;SUBSTITUTE("Hola "&amp;B362&amp;", te recuerdo que tu cuota de S/ "&amp;H362&amp;IF(E362&lt;TODAY()," vencio el "," vence el ")&amp;TEXT(E362,"dd/mm")&amp;". Gracias!"," ","%20"),"WhatsApp"))</f>
        <v/>
      </c>
    </row>
    <row r="363">
      <c r="A363" s="14" t="n"/>
      <c r="B363" s="16">
        <f>IF($A363="","",INDEX('Préstamos'!$B$2:$B$101,MATCH($A363,'Préstamos'!$A$2:$A$101,0)))</f>
        <v/>
      </c>
      <c r="C363" s="14" t="n"/>
      <c r="D363" s="14" t="n"/>
      <c r="E363" s="33" t="n"/>
      <c r="F363" s="29">
        <f>IF($A363="","",IF(D363="Solo interés",0,IF(AND(D363&lt;&gt;"Solo interés",C363=INDEX('Préstamos'!$G$2:$G$101,MATCH($A363,'Préstamos'!$A$2:$A$101,0))),INDEX('Préstamos'!$D$2:$D$101,MATCH($A363,'Préstamos'!$A$2:$A$101,0))-INDEX('Préstamos'!$J$2:$J$101,MATCH($A363,'Préstamos'!$A$2:$A$101,0))*(INDEX('Préstamos'!$G$2:$G$101,MATCH($A363,'Préstamos'!$A$2:$A$101,0))-1),INDEX('Préstamos'!$J$2:$J$101,MATCH($A363,'Préstamos'!$A$2:$A$101,0)))))</f>
        <v/>
      </c>
      <c r="G363" s="29">
        <f>IF($A363="","",IF(AND(D363&lt;&gt;"Solo interés",C363=INDEX('Préstamos'!$G$2:$G$101,MATCH($A363,'Préstamos'!$A$2:$A$101,0))),INDEX('Préstamos'!$I$2:$I$101,MATCH($A363,'Préstamos'!$A$2:$A$101,0))-INDEX('Préstamos'!$K$2:$K$101,MATCH($A363,'Préstamos'!$A$2:$A$101,0))*(INDEX('Préstamos'!$G$2:$G$101,MATCH($A363,'Préstamos'!$A$2:$A$101,0))-1),INDEX('Préstamos'!$K$2:$K$101,MATCH($A363,'Préstamos'!$A$2:$A$101,0))))</f>
        <v/>
      </c>
      <c r="H363" s="29">
        <f>IF($A363="","",F363+G363)</f>
        <v/>
      </c>
      <c r="I363" s="14" t="n"/>
      <c r="J363" s="33" t="n"/>
      <c r="K363" s="16">
        <f>IF(OR($A363="",I363="Pagado"),"",MAX(0,TODAY()-E363))</f>
        <v/>
      </c>
      <c r="L363" s="16">
        <f>IF($A363="","",IF(I363="Pagado","Pagado",IF(E363&lt;TODAY(),"Atrasado",IF(E363&lt;=EOMONTH(TODAY(),0),"Este mes","Pendiente"))))</f>
        <v/>
      </c>
      <c r="M363" s="20">
        <f>IF(OR($A363="",I363="Pagado"),"",HYPERLINK("https://wa.me/"&amp;IF(INDEX('Préstamos'!$C$2:$C$101,MATCH($A363,'Préstamos'!$A$2:$A$101,0))="","","51"&amp;SUBSTITUTE(INDEX('Préstamos'!$C$2:$C$101,MATCH($A363,'Préstamos'!$A$2:$A$101,0))," ",""))&amp;"?text="&amp;SUBSTITUTE("Hola "&amp;B363&amp;", te recuerdo que tu cuota de S/ "&amp;H363&amp;IF(E363&lt;TODAY()," vencio el "," vence el ")&amp;TEXT(E363,"dd/mm")&amp;". Gracias!"," ","%20"),"WhatsApp"))</f>
        <v/>
      </c>
    </row>
    <row r="364">
      <c r="A364" s="14" t="n"/>
      <c r="B364" s="16">
        <f>IF($A364="","",INDEX('Préstamos'!$B$2:$B$101,MATCH($A364,'Préstamos'!$A$2:$A$101,0)))</f>
        <v/>
      </c>
      <c r="C364" s="14" t="n"/>
      <c r="D364" s="14" t="n"/>
      <c r="E364" s="33" t="n"/>
      <c r="F364" s="29">
        <f>IF($A364="","",IF(D364="Solo interés",0,IF(AND(D364&lt;&gt;"Solo interés",C364=INDEX('Préstamos'!$G$2:$G$101,MATCH($A364,'Préstamos'!$A$2:$A$101,0))),INDEX('Préstamos'!$D$2:$D$101,MATCH($A364,'Préstamos'!$A$2:$A$101,0))-INDEX('Préstamos'!$J$2:$J$101,MATCH($A364,'Préstamos'!$A$2:$A$101,0))*(INDEX('Préstamos'!$G$2:$G$101,MATCH($A364,'Préstamos'!$A$2:$A$101,0))-1),INDEX('Préstamos'!$J$2:$J$101,MATCH($A364,'Préstamos'!$A$2:$A$101,0)))))</f>
        <v/>
      </c>
      <c r="G364" s="29">
        <f>IF($A364="","",IF(AND(D364&lt;&gt;"Solo interés",C364=INDEX('Préstamos'!$G$2:$G$101,MATCH($A364,'Préstamos'!$A$2:$A$101,0))),INDEX('Préstamos'!$I$2:$I$101,MATCH($A364,'Préstamos'!$A$2:$A$101,0))-INDEX('Préstamos'!$K$2:$K$101,MATCH($A364,'Préstamos'!$A$2:$A$101,0))*(INDEX('Préstamos'!$G$2:$G$101,MATCH($A364,'Préstamos'!$A$2:$A$101,0))-1),INDEX('Préstamos'!$K$2:$K$101,MATCH($A364,'Préstamos'!$A$2:$A$101,0))))</f>
        <v/>
      </c>
      <c r="H364" s="29">
        <f>IF($A364="","",F364+G364)</f>
        <v/>
      </c>
      <c r="I364" s="14" t="n"/>
      <c r="J364" s="33" t="n"/>
      <c r="K364" s="16">
        <f>IF(OR($A364="",I364="Pagado"),"",MAX(0,TODAY()-E364))</f>
        <v/>
      </c>
      <c r="L364" s="16">
        <f>IF($A364="","",IF(I364="Pagado","Pagado",IF(E364&lt;TODAY(),"Atrasado",IF(E364&lt;=EOMONTH(TODAY(),0),"Este mes","Pendiente"))))</f>
        <v/>
      </c>
      <c r="M364" s="20">
        <f>IF(OR($A364="",I364="Pagado"),"",HYPERLINK("https://wa.me/"&amp;IF(INDEX('Préstamos'!$C$2:$C$101,MATCH($A364,'Préstamos'!$A$2:$A$101,0))="","","51"&amp;SUBSTITUTE(INDEX('Préstamos'!$C$2:$C$101,MATCH($A364,'Préstamos'!$A$2:$A$101,0))," ",""))&amp;"?text="&amp;SUBSTITUTE("Hola "&amp;B364&amp;", te recuerdo que tu cuota de S/ "&amp;H364&amp;IF(E364&lt;TODAY()," vencio el "," vence el ")&amp;TEXT(E364,"dd/mm")&amp;". Gracias!"," ","%20"),"WhatsApp"))</f>
        <v/>
      </c>
    </row>
    <row r="365">
      <c r="A365" s="14" t="n"/>
      <c r="B365" s="16">
        <f>IF($A365="","",INDEX('Préstamos'!$B$2:$B$101,MATCH($A365,'Préstamos'!$A$2:$A$101,0)))</f>
        <v/>
      </c>
      <c r="C365" s="14" t="n"/>
      <c r="D365" s="14" t="n"/>
      <c r="E365" s="33" t="n"/>
      <c r="F365" s="29">
        <f>IF($A365="","",IF(D365="Solo interés",0,IF(AND(D365&lt;&gt;"Solo interés",C365=INDEX('Préstamos'!$G$2:$G$101,MATCH($A365,'Préstamos'!$A$2:$A$101,0))),INDEX('Préstamos'!$D$2:$D$101,MATCH($A365,'Préstamos'!$A$2:$A$101,0))-INDEX('Préstamos'!$J$2:$J$101,MATCH($A365,'Préstamos'!$A$2:$A$101,0))*(INDEX('Préstamos'!$G$2:$G$101,MATCH($A365,'Préstamos'!$A$2:$A$101,0))-1),INDEX('Préstamos'!$J$2:$J$101,MATCH($A365,'Préstamos'!$A$2:$A$101,0)))))</f>
        <v/>
      </c>
      <c r="G365" s="29">
        <f>IF($A365="","",IF(AND(D365&lt;&gt;"Solo interés",C365=INDEX('Préstamos'!$G$2:$G$101,MATCH($A365,'Préstamos'!$A$2:$A$101,0))),INDEX('Préstamos'!$I$2:$I$101,MATCH($A365,'Préstamos'!$A$2:$A$101,0))-INDEX('Préstamos'!$K$2:$K$101,MATCH($A365,'Préstamos'!$A$2:$A$101,0))*(INDEX('Préstamos'!$G$2:$G$101,MATCH($A365,'Préstamos'!$A$2:$A$101,0))-1),INDEX('Préstamos'!$K$2:$K$101,MATCH($A365,'Préstamos'!$A$2:$A$101,0))))</f>
        <v/>
      </c>
      <c r="H365" s="29">
        <f>IF($A365="","",F365+G365)</f>
        <v/>
      </c>
      <c r="I365" s="14" t="n"/>
      <c r="J365" s="33" t="n"/>
      <c r="K365" s="16">
        <f>IF(OR($A365="",I365="Pagado"),"",MAX(0,TODAY()-E365))</f>
        <v/>
      </c>
      <c r="L365" s="16">
        <f>IF($A365="","",IF(I365="Pagado","Pagado",IF(E365&lt;TODAY(),"Atrasado",IF(E365&lt;=EOMONTH(TODAY(),0),"Este mes","Pendiente"))))</f>
        <v/>
      </c>
      <c r="M365" s="20">
        <f>IF(OR($A365="",I365="Pagado"),"",HYPERLINK("https://wa.me/"&amp;IF(INDEX('Préstamos'!$C$2:$C$101,MATCH($A365,'Préstamos'!$A$2:$A$101,0))="","","51"&amp;SUBSTITUTE(INDEX('Préstamos'!$C$2:$C$101,MATCH($A365,'Préstamos'!$A$2:$A$101,0))," ",""))&amp;"?text="&amp;SUBSTITUTE("Hola "&amp;B365&amp;", te recuerdo que tu cuota de S/ "&amp;H365&amp;IF(E365&lt;TODAY()," vencio el "," vence el ")&amp;TEXT(E365,"dd/mm")&amp;". Gracias!"," ","%20"),"WhatsApp"))</f>
        <v/>
      </c>
    </row>
    <row r="366">
      <c r="A366" s="14" t="n"/>
      <c r="B366" s="16">
        <f>IF($A366="","",INDEX('Préstamos'!$B$2:$B$101,MATCH($A366,'Préstamos'!$A$2:$A$101,0)))</f>
        <v/>
      </c>
      <c r="C366" s="14" t="n"/>
      <c r="D366" s="14" t="n"/>
      <c r="E366" s="33" t="n"/>
      <c r="F366" s="29">
        <f>IF($A366="","",IF(D366="Solo interés",0,IF(AND(D366&lt;&gt;"Solo interés",C366=INDEX('Préstamos'!$G$2:$G$101,MATCH($A366,'Préstamos'!$A$2:$A$101,0))),INDEX('Préstamos'!$D$2:$D$101,MATCH($A366,'Préstamos'!$A$2:$A$101,0))-INDEX('Préstamos'!$J$2:$J$101,MATCH($A366,'Préstamos'!$A$2:$A$101,0))*(INDEX('Préstamos'!$G$2:$G$101,MATCH($A366,'Préstamos'!$A$2:$A$101,0))-1),INDEX('Préstamos'!$J$2:$J$101,MATCH($A366,'Préstamos'!$A$2:$A$101,0)))))</f>
        <v/>
      </c>
      <c r="G366" s="29">
        <f>IF($A366="","",IF(AND(D366&lt;&gt;"Solo interés",C366=INDEX('Préstamos'!$G$2:$G$101,MATCH($A366,'Préstamos'!$A$2:$A$101,0))),INDEX('Préstamos'!$I$2:$I$101,MATCH($A366,'Préstamos'!$A$2:$A$101,0))-INDEX('Préstamos'!$K$2:$K$101,MATCH($A366,'Préstamos'!$A$2:$A$101,0))*(INDEX('Préstamos'!$G$2:$G$101,MATCH($A366,'Préstamos'!$A$2:$A$101,0))-1),INDEX('Préstamos'!$K$2:$K$101,MATCH($A366,'Préstamos'!$A$2:$A$101,0))))</f>
        <v/>
      </c>
      <c r="H366" s="29">
        <f>IF($A366="","",F366+G366)</f>
        <v/>
      </c>
      <c r="I366" s="14" t="n"/>
      <c r="J366" s="33" t="n"/>
      <c r="K366" s="16">
        <f>IF(OR($A366="",I366="Pagado"),"",MAX(0,TODAY()-E366))</f>
        <v/>
      </c>
      <c r="L366" s="16">
        <f>IF($A366="","",IF(I366="Pagado","Pagado",IF(E366&lt;TODAY(),"Atrasado",IF(E366&lt;=EOMONTH(TODAY(),0),"Este mes","Pendiente"))))</f>
        <v/>
      </c>
      <c r="M366" s="20">
        <f>IF(OR($A366="",I366="Pagado"),"",HYPERLINK("https://wa.me/"&amp;IF(INDEX('Préstamos'!$C$2:$C$101,MATCH($A366,'Préstamos'!$A$2:$A$101,0))="","","51"&amp;SUBSTITUTE(INDEX('Préstamos'!$C$2:$C$101,MATCH($A366,'Préstamos'!$A$2:$A$101,0))," ",""))&amp;"?text="&amp;SUBSTITUTE("Hola "&amp;B366&amp;", te recuerdo que tu cuota de S/ "&amp;H366&amp;IF(E366&lt;TODAY()," vencio el "," vence el ")&amp;TEXT(E366,"dd/mm")&amp;". Gracias!"," ","%20"),"WhatsApp"))</f>
        <v/>
      </c>
    </row>
    <row r="367">
      <c r="A367" s="14" t="n"/>
      <c r="B367" s="16">
        <f>IF($A367="","",INDEX('Préstamos'!$B$2:$B$101,MATCH($A367,'Préstamos'!$A$2:$A$101,0)))</f>
        <v/>
      </c>
      <c r="C367" s="14" t="n"/>
      <c r="D367" s="14" t="n"/>
      <c r="E367" s="33" t="n"/>
      <c r="F367" s="29">
        <f>IF($A367="","",IF(D367="Solo interés",0,IF(AND(D367&lt;&gt;"Solo interés",C367=INDEX('Préstamos'!$G$2:$G$101,MATCH($A367,'Préstamos'!$A$2:$A$101,0))),INDEX('Préstamos'!$D$2:$D$101,MATCH($A367,'Préstamos'!$A$2:$A$101,0))-INDEX('Préstamos'!$J$2:$J$101,MATCH($A367,'Préstamos'!$A$2:$A$101,0))*(INDEX('Préstamos'!$G$2:$G$101,MATCH($A367,'Préstamos'!$A$2:$A$101,0))-1),INDEX('Préstamos'!$J$2:$J$101,MATCH($A367,'Préstamos'!$A$2:$A$101,0)))))</f>
        <v/>
      </c>
      <c r="G367" s="29">
        <f>IF($A367="","",IF(AND(D367&lt;&gt;"Solo interés",C367=INDEX('Préstamos'!$G$2:$G$101,MATCH($A367,'Préstamos'!$A$2:$A$101,0))),INDEX('Préstamos'!$I$2:$I$101,MATCH($A367,'Préstamos'!$A$2:$A$101,0))-INDEX('Préstamos'!$K$2:$K$101,MATCH($A367,'Préstamos'!$A$2:$A$101,0))*(INDEX('Préstamos'!$G$2:$G$101,MATCH($A367,'Préstamos'!$A$2:$A$101,0))-1),INDEX('Préstamos'!$K$2:$K$101,MATCH($A367,'Préstamos'!$A$2:$A$101,0))))</f>
        <v/>
      </c>
      <c r="H367" s="29">
        <f>IF($A367="","",F367+G367)</f>
        <v/>
      </c>
      <c r="I367" s="14" t="n"/>
      <c r="J367" s="33" t="n"/>
      <c r="K367" s="16">
        <f>IF(OR($A367="",I367="Pagado"),"",MAX(0,TODAY()-E367))</f>
        <v/>
      </c>
      <c r="L367" s="16">
        <f>IF($A367="","",IF(I367="Pagado","Pagado",IF(E367&lt;TODAY(),"Atrasado",IF(E367&lt;=EOMONTH(TODAY(),0),"Este mes","Pendiente"))))</f>
        <v/>
      </c>
      <c r="M367" s="20">
        <f>IF(OR($A367="",I367="Pagado"),"",HYPERLINK("https://wa.me/"&amp;IF(INDEX('Préstamos'!$C$2:$C$101,MATCH($A367,'Préstamos'!$A$2:$A$101,0))="","","51"&amp;SUBSTITUTE(INDEX('Préstamos'!$C$2:$C$101,MATCH($A367,'Préstamos'!$A$2:$A$101,0))," ",""))&amp;"?text="&amp;SUBSTITUTE("Hola "&amp;B367&amp;", te recuerdo que tu cuota de S/ "&amp;H367&amp;IF(E367&lt;TODAY()," vencio el "," vence el ")&amp;TEXT(E367,"dd/mm")&amp;". Gracias!"," ","%20"),"WhatsApp"))</f>
        <v/>
      </c>
    </row>
    <row r="368">
      <c r="A368" s="14" t="n"/>
      <c r="B368" s="16">
        <f>IF($A368="","",INDEX('Préstamos'!$B$2:$B$101,MATCH($A368,'Préstamos'!$A$2:$A$101,0)))</f>
        <v/>
      </c>
      <c r="C368" s="14" t="n"/>
      <c r="D368" s="14" t="n"/>
      <c r="E368" s="33" t="n"/>
      <c r="F368" s="29">
        <f>IF($A368="","",IF(D368="Solo interés",0,IF(AND(D368&lt;&gt;"Solo interés",C368=INDEX('Préstamos'!$G$2:$G$101,MATCH($A368,'Préstamos'!$A$2:$A$101,0))),INDEX('Préstamos'!$D$2:$D$101,MATCH($A368,'Préstamos'!$A$2:$A$101,0))-INDEX('Préstamos'!$J$2:$J$101,MATCH($A368,'Préstamos'!$A$2:$A$101,0))*(INDEX('Préstamos'!$G$2:$G$101,MATCH($A368,'Préstamos'!$A$2:$A$101,0))-1),INDEX('Préstamos'!$J$2:$J$101,MATCH($A368,'Préstamos'!$A$2:$A$101,0)))))</f>
        <v/>
      </c>
      <c r="G368" s="29">
        <f>IF($A368="","",IF(AND(D368&lt;&gt;"Solo interés",C368=INDEX('Préstamos'!$G$2:$G$101,MATCH($A368,'Préstamos'!$A$2:$A$101,0))),INDEX('Préstamos'!$I$2:$I$101,MATCH($A368,'Préstamos'!$A$2:$A$101,0))-INDEX('Préstamos'!$K$2:$K$101,MATCH($A368,'Préstamos'!$A$2:$A$101,0))*(INDEX('Préstamos'!$G$2:$G$101,MATCH($A368,'Préstamos'!$A$2:$A$101,0))-1),INDEX('Préstamos'!$K$2:$K$101,MATCH($A368,'Préstamos'!$A$2:$A$101,0))))</f>
        <v/>
      </c>
      <c r="H368" s="29">
        <f>IF($A368="","",F368+G368)</f>
        <v/>
      </c>
      <c r="I368" s="14" t="n"/>
      <c r="J368" s="33" t="n"/>
      <c r="K368" s="16">
        <f>IF(OR($A368="",I368="Pagado"),"",MAX(0,TODAY()-E368))</f>
        <v/>
      </c>
      <c r="L368" s="16">
        <f>IF($A368="","",IF(I368="Pagado","Pagado",IF(E368&lt;TODAY(),"Atrasado",IF(E368&lt;=EOMONTH(TODAY(),0),"Este mes","Pendiente"))))</f>
        <v/>
      </c>
      <c r="M368" s="20">
        <f>IF(OR($A368="",I368="Pagado"),"",HYPERLINK("https://wa.me/"&amp;IF(INDEX('Préstamos'!$C$2:$C$101,MATCH($A368,'Préstamos'!$A$2:$A$101,0))="","","51"&amp;SUBSTITUTE(INDEX('Préstamos'!$C$2:$C$101,MATCH($A368,'Préstamos'!$A$2:$A$101,0))," ",""))&amp;"?text="&amp;SUBSTITUTE("Hola "&amp;B368&amp;", te recuerdo que tu cuota de S/ "&amp;H368&amp;IF(E368&lt;TODAY()," vencio el "," vence el ")&amp;TEXT(E368,"dd/mm")&amp;". Gracias!"," ","%20"),"WhatsApp"))</f>
        <v/>
      </c>
    </row>
    <row r="369">
      <c r="A369" s="14" t="n"/>
      <c r="B369" s="16">
        <f>IF($A369="","",INDEX('Préstamos'!$B$2:$B$101,MATCH($A369,'Préstamos'!$A$2:$A$101,0)))</f>
        <v/>
      </c>
      <c r="C369" s="14" t="n"/>
      <c r="D369" s="14" t="n"/>
      <c r="E369" s="33" t="n"/>
      <c r="F369" s="29">
        <f>IF($A369="","",IF(D369="Solo interés",0,IF(AND(D369&lt;&gt;"Solo interés",C369=INDEX('Préstamos'!$G$2:$G$101,MATCH($A369,'Préstamos'!$A$2:$A$101,0))),INDEX('Préstamos'!$D$2:$D$101,MATCH($A369,'Préstamos'!$A$2:$A$101,0))-INDEX('Préstamos'!$J$2:$J$101,MATCH($A369,'Préstamos'!$A$2:$A$101,0))*(INDEX('Préstamos'!$G$2:$G$101,MATCH($A369,'Préstamos'!$A$2:$A$101,0))-1),INDEX('Préstamos'!$J$2:$J$101,MATCH($A369,'Préstamos'!$A$2:$A$101,0)))))</f>
        <v/>
      </c>
      <c r="G369" s="29">
        <f>IF($A369="","",IF(AND(D369&lt;&gt;"Solo interés",C369=INDEX('Préstamos'!$G$2:$G$101,MATCH($A369,'Préstamos'!$A$2:$A$101,0))),INDEX('Préstamos'!$I$2:$I$101,MATCH($A369,'Préstamos'!$A$2:$A$101,0))-INDEX('Préstamos'!$K$2:$K$101,MATCH($A369,'Préstamos'!$A$2:$A$101,0))*(INDEX('Préstamos'!$G$2:$G$101,MATCH($A369,'Préstamos'!$A$2:$A$101,0))-1),INDEX('Préstamos'!$K$2:$K$101,MATCH($A369,'Préstamos'!$A$2:$A$101,0))))</f>
        <v/>
      </c>
      <c r="H369" s="29">
        <f>IF($A369="","",F369+G369)</f>
        <v/>
      </c>
      <c r="I369" s="14" t="n"/>
      <c r="J369" s="33" t="n"/>
      <c r="K369" s="16">
        <f>IF(OR($A369="",I369="Pagado"),"",MAX(0,TODAY()-E369))</f>
        <v/>
      </c>
      <c r="L369" s="16">
        <f>IF($A369="","",IF(I369="Pagado","Pagado",IF(E369&lt;TODAY(),"Atrasado",IF(E369&lt;=EOMONTH(TODAY(),0),"Este mes","Pendiente"))))</f>
        <v/>
      </c>
      <c r="M369" s="20">
        <f>IF(OR($A369="",I369="Pagado"),"",HYPERLINK("https://wa.me/"&amp;IF(INDEX('Préstamos'!$C$2:$C$101,MATCH($A369,'Préstamos'!$A$2:$A$101,0))="","","51"&amp;SUBSTITUTE(INDEX('Préstamos'!$C$2:$C$101,MATCH($A369,'Préstamos'!$A$2:$A$101,0))," ",""))&amp;"?text="&amp;SUBSTITUTE("Hola "&amp;B369&amp;", te recuerdo que tu cuota de S/ "&amp;H369&amp;IF(E369&lt;TODAY()," vencio el "," vence el ")&amp;TEXT(E369,"dd/mm")&amp;". Gracias!"," ","%20"),"WhatsApp"))</f>
        <v/>
      </c>
    </row>
    <row r="370">
      <c r="A370" s="14" t="n"/>
      <c r="B370" s="16">
        <f>IF($A370="","",INDEX('Préstamos'!$B$2:$B$101,MATCH($A370,'Préstamos'!$A$2:$A$101,0)))</f>
        <v/>
      </c>
      <c r="C370" s="14" t="n"/>
      <c r="D370" s="14" t="n"/>
      <c r="E370" s="33" t="n"/>
      <c r="F370" s="29">
        <f>IF($A370="","",IF(D370="Solo interés",0,IF(AND(D370&lt;&gt;"Solo interés",C370=INDEX('Préstamos'!$G$2:$G$101,MATCH($A370,'Préstamos'!$A$2:$A$101,0))),INDEX('Préstamos'!$D$2:$D$101,MATCH($A370,'Préstamos'!$A$2:$A$101,0))-INDEX('Préstamos'!$J$2:$J$101,MATCH($A370,'Préstamos'!$A$2:$A$101,0))*(INDEX('Préstamos'!$G$2:$G$101,MATCH($A370,'Préstamos'!$A$2:$A$101,0))-1),INDEX('Préstamos'!$J$2:$J$101,MATCH($A370,'Préstamos'!$A$2:$A$101,0)))))</f>
        <v/>
      </c>
      <c r="G370" s="29">
        <f>IF($A370="","",IF(AND(D370&lt;&gt;"Solo interés",C370=INDEX('Préstamos'!$G$2:$G$101,MATCH($A370,'Préstamos'!$A$2:$A$101,0))),INDEX('Préstamos'!$I$2:$I$101,MATCH($A370,'Préstamos'!$A$2:$A$101,0))-INDEX('Préstamos'!$K$2:$K$101,MATCH($A370,'Préstamos'!$A$2:$A$101,0))*(INDEX('Préstamos'!$G$2:$G$101,MATCH($A370,'Préstamos'!$A$2:$A$101,0))-1),INDEX('Préstamos'!$K$2:$K$101,MATCH($A370,'Préstamos'!$A$2:$A$101,0))))</f>
        <v/>
      </c>
      <c r="H370" s="29">
        <f>IF($A370="","",F370+G370)</f>
        <v/>
      </c>
      <c r="I370" s="14" t="n"/>
      <c r="J370" s="33" t="n"/>
      <c r="K370" s="16">
        <f>IF(OR($A370="",I370="Pagado"),"",MAX(0,TODAY()-E370))</f>
        <v/>
      </c>
      <c r="L370" s="16">
        <f>IF($A370="","",IF(I370="Pagado","Pagado",IF(E370&lt;TODAY(),"Atrasado",IF(E370&lt;=EOMONTH(TODAY(),0),"Este mes","Pendiente"))))</f>
        <v/>
      </c>
      <c r="M370" s="20">
        <f>IF(OR($A370="",I370="Pagado"),"",HYPERLINK("https://wa.me/"&amp;IF(INDEX('Préstamos'!$C$2:$C$101,MATCH($A370,'Préstamos'!$A$2:$A$101,0))="","","51"&amp;SUBSTITUTE(INDEX('Préstamos'!$C$2:$C$101,MATCH($A370,'Préstamos'!$A$2:$A$101,0))," ",""))&amp;"?text="&amp;SUBSTITUTE("Hola "&amp;B370&amp;", te recuerdo que tu cuota de S/ "&amp;H370&amp;IF(E370&lt;TODAY()," vencio el "," vence el ")&amp;TEXT(E370,"dd/mm")&amp;". Gracias!"," ","%20"),"WhatsApp"))</f>
        <v/>
      </c>
    </row>
    <row r="371">
      <c r="A371" s="14" t="n"/>
      <c r="B371" s="16">
        <f>IF($A371="","",INDEX('Préstamos'!$B$2:$B$101,MATCH($A371,'Préstamos'!$A$2:$A$101,0)))</f>
        <v/>
      </c>
      <c r="C371" s="14" t="n"/>
      <c r="D371" s="14" t="n"/>
      <c r="E371" s="33" t="n"/>
      <c r="F371" s="29">
        <f>IF($A371="","",IF(D371="Solo interés",0,IF(AND(D371&lt;&gt;"Solo interés",C371=INDEX('Préstamos'!$G$2:$G$101,MATCH($A371,'Préstamos'!$A$2:$A$101,0))),INDEX('Préstamos'!$D$2:$D$101,MATCH($A371,'Préstamos'!$A$2:$A$101,0))-INDEX('Préstamos'!$J$2:$J$101,MATCH($A371,'Préstamos'!$A$2:$A$101,0))*(INDEX('Préstamos'!$G$2:$G$101,MATCH($A371,'Préstamos'!$A$2:$A$101,0))-1),INDEX('Préstamos'!$J$2:$J$101,MATCH($A371,'Préstamos'!$A$2:$A$101,0)))))</f>
        <v/>
      </c>
      <c r="G371" s="29">
        <f>IF($A371="","",IF(AND(D371&lt;&gt;"Solo interés",C371=INDEX('Préstamos'!$G$2:$G$101,MATCH($A371,'Préstamos'!$A$2:$A$101,0))),INDEX('Préstamos'!$I$2:$I$101,MATCH($A371,'Préstamos'!$A$2:$A$101,0))-INDEX('Préstamos'!$K$2:$K$101,MATCH($A371,'Préstamos'!$A$2:$A$101,0))*(INDEX('Préstamos'!$G$2:$G$101,MATCH($A371,'Préstamos'!$A$2:$A$101,0))-1),INDEX('Préstamos'!$K$2:$K$101,MATCH($A371,'Préstamos'!$A$2:$A$101,0))))</f>
        <v/>
      </c>
      <c r="H371" s="29">
        <f>IF($A371="","",F371+G371)</f>
        <v/>
      </c>
      <c r="I371" s="14" t="n"/>
      <c r="J371" s="33" t="n"/>
      <c r="K371" s="16">
        <f>IF(OR($A371="",I371="Pagado"),"",MAX(0,TODAY()-E371))</f>
        <v/>
      </c>
      <c r="L371" s="16">
        <f>IF($A371="","",IF(I371="Pagado","Pagado",IF(E371&lt;TODAY(),"Atrasado",IF(E371&lt;=EOMONTH(TODAY(),0),"Este mes","Pendiente"))))</f>
        <v/>
      </c>
      <c r="M371" s="20">
        <f>IF(OR($A371="",I371="Pagado"),"",HYPERLINK("https://wa.me/"&amp;IF(INDEX('Préstamos'!$C$2:$C$101,MATCH($A371,'Préstamos'!$A$2:$A$101,0))="","","51"&amp;SUBSTITUTE(INDEX('Préstamos'!$C$2:$C$101,MATCH($A371,'Préstamos'!$A$2:$A$101,0))," ",""))&amp;"?text="&amp;SUBSTITUTE("Hola "&amp;B371&amp;", te recuerdo que tu cuota de S/ "&amp;H371&amp;IF(E371&lt;TODAY()," vencio el "," vence el ")&amp;TEXT(E371,"dd/mm")&amp;". Gracias!"," ","%20"),"WhatsApp"))</f>
        <v/>
      </c>
    </row>
    <row r="372">
      <c r="A372" s="14" t="n"/>
      <c r="B372" s="16">
        <f>IF($A372="","",INDEX('Préstamos'!$B$2:$B$101,MATCH($A372,'Préstamos'!$A$2:$A$101,0)))</f>
        <v/>
      </c>
      <c r="C372" s="14" t="n"/>
      <c r="D372" s="14" t="n"/>
      <c r="E372" s="33" t="n"/>
      <c r="F372" s="29">
        <f>IF($A372="","",IF(D372="Solo interés",0,IF(AND(D372&lt;&gt;"Solo interés",C372=INDEX('Préstamos'!$G$2:$G$101,MATCH($A372,'Préstamos'!$A$2:$A$101,0))),INDEX('Préstamos'!$D$2:$D$101,MATCH($A372,'Préstamos'!$A$2:$A$101,0))-INDEX('Préstamos'!$J$2:$J$101,MATCH($A372,'Préstamos'!$A$2:$A$101,0))*(INDEX('Préstamos'!$G$2:$G$101,MATCH($A372,'Préstamos'!$A$2:$A$101,0))-1),INDEX('Préstamos'!$J$2:$J$101,MATCH($A372,'Préstamos'!$A$2:$A$101,0)))))</f>
        <v/>
      </c>
      <c r="G372" s="29">
        <f>IF($A372="","",IF(AND(D372&lt;&gt;"Solo interés",C372=INDEX('Préstamos'!$G$2:$G$101,MATCH($A372,'Préstamos'!$A$2:$A$101,0))),INDEX('Préstamos'!$I$2:$I$101,MATCH($A372,'Préstamos'!$A$2:$A$101,0))-INDEX('Préstamos'!$K$2:$K$101,MATCH($A372,'Préstamos'!$A$2:$A$101,0))*(INDEX('Préstamos'!$G$2:$G$101,MATCH($A372,'Préstamos'!$A$2:$A$101,0))-1),INDEX('Préstamos'!$K$2:$K$101,MATCH($A372,'Préstamos'!$A$2:$A$101,0))))</f>
        <v/>
      </c>
      <c r="H372" s="29">
        <f>IF($A372="","",F372+G372)</f>
        <v/>
      </c>
      <c r="I372" s="14" t="n"/>
      <c r="J372" s="33" t="n"/>
      <c r="K372" s="16">
        <f>IF(OR($A372="",I372="Pagado"),"",MAX(0,TODAY()-E372))</f>
        <v/>
      </c>
      <c r="L372" s="16">
        <f>IF($A372="","",IF(I372="Pagado","Pagado",IF(E372&lt;TODAY(),"Atrasado",IF(E372&lt;=EOMONTH(TODAY(),0),"Este mes","Pendiente"))))</f>
        <v/>
      </c>
      <c r="M372" s="20">
        <f>IF(OR($A372="",I372="Pagado"),"",HYPERLINK("https://wa.me/"&amp;IF(INDEX('Préstamos'!$C$2:$C$101,MATCH($A372,'Préstamos'!$A$2:$A$101,0))="","","51"&amp;SUBSTITUTE(INDEX('Préstamos'!$C$2:$C$101,MATCH($A372,'Préstamos'!$A$2:$A$101,0))," ",""))&amp;"?text="&amp;SUBSTITUTE("Hola "&amp;B372&amp;", te recuerdo que tu cuota de S/ "&amp;H372&amp;IF(E372&lt;TODAY()," vencio el "," vence el ")&amp;TEXT(E372,"dd/mm")&amp;". Gracias!"," ","%20"),"WhatsApp"))</f>
        <v/>
      </c>
    </row>
    <row r="373">
      <c r="A373" s="14" t="n"/>
      <c r="B373" s="16">
        <f>IF($A373="","",INDEX('Préstamos'!$B$2:$B$101,MATCH($A373,'Préstamos'!$A$2:$A$101,0)))</f>
        <v/>
      </c>
      <c r="C373" s="14" t="n"/>
      <c r="D373" s="14" t="n"/>
      <c r="E373" s="33" t="n"/>
      <c r="F373" s="29">
        <f>IF($A373="","",IF(D373="Solo interés",0,IF(AND(D373&lt;&gt;"Solo interés",C373=INDEX('Préstamos'!$G$2:$G$101,MATCH($A373,'Préstamos'!$A$2:$A$101,0))),INDEX('Préstamos'!$D$2:$D$101,MATCH($A373,'Préstamos'!$A$2:$A$101,0))-INDEX('Préstamos'!$J$2:$J$101,MATCH($A373,'Préstamos'!$A$2:$A$101,0))*(INDEX('Préstamos'!$G$2:$G$101,MATCH($A373,'Préstamos'!$A$2:$A$101,0))-1),INDEX('Préstamos'!$J$2:$J$101,MATCH($A373,'Préstamos'!$A$2:$A$101,0)))))</f>
        <v/>
      </c>
      <c r="G373" s="29">
        <f>IF($A373="","",IF(AND(D373&lt;&gt;"Solo interés",C373=INDEX('Préstamos'!$G$2:$G$101,MATCH($A373,'Préstamos'!$A$2:$A$101,0))),INDEX('Préstamos'!$I$2:$I$101,MATCH($A373,'Préstamos'!$A$2:$A$101,0))-INDEX('Préstamos'!$K$2:$K$101,MATCH($A373,'Préstamos'!$A$2:$A$101,0))*(INDEX('Préstamos'!$G$2:$G$101,MATCH($A373,'Préstamos'!$A$2:$A$101,0))-1),INDEX('Préstamos'!$K$2:$K$101,MATCH($A373,'Préstamos'!$A$2:$A$101,0))))</f>
        <v/>
      </c>
      <c r="H373" s="29">
        <f>IF($A373="","",F373+G373)</f>
        <v/>
      </c>
      <c r="I373" s="14" t="n"/>
      <c r="J373" s="33" t="n"/>
      <c r="K373" s="16">
        <f>IF(OR($A373="",I373="Pagado"),"",MAX(0,TODAY()-E373))</f>
        <v/>
      </c>
      <c r="L373" s="16">
        <f>IF($A373="","",IF(I373="Pagado","Pagado",IF(E373&lt;TODAY(),"Atrasado",IF(E373&lt;=EOMONTH(TODAY(),0),"Este mes","Pendiente"))))</f>
        <v/>
      </c>
      <c r="M373" s="20">
        <f>IF(OR($A373="",I373="Pagado"),"",HYPERLINK("https://wa.me/"&amp;IF(INDEX('Préstamos'!$C$2:$C$101,MATCH($A373,'Préstamos'!$A$2:$A$101,0))="","","51"&amp;SUBSTITUTE(INDEX('Préstamos'!$C$2:$C$101,MATCH($A373,'Préstamos'!$A$2:$A$101,0))," ",""))&amp;"?text="&amp;SUBSTITUTE("Hola "&amp;B373&amp;", te recuerdo que tu cuota de S/ "&amp;H373&amp;IF(E373&lt;TODAY()," vencio el "," vence el ")&amp;TEXT(E373,"dd/mm")&amp;". Gracias!"," ","%20"),"WhatsApp"))</f>
        <v/>
      </c>
    </row>
    <row r="374">
      <c r="A374" s="14" t="n"/>
      <c r="B374" s="16">
        <f>IF($A374="","",INDEX('Préstamos'!$B$2:$B$101,MATCH($A374,'Préstamos'!$A$2:$A$101,0)))</f>
        <v/>
      </c>
      <c r="C374" s="14" t="n"/>
      <c r="D374" s="14" t="n"/>
      <c r="E374" s="33" t="n"/>
      <c r="F374" s="29">
        <f>IF($A374="","",IF(D374="Solo interés",0,IF(AND(D374&lt;&gt;"Solo interés",C374=INDEX('Préstamos'!$G$2:$G$101,MATCH($A374,'Préstamos'!$A$2:$A$101,0))),INDEX('Préstamos'!$D$2:$D$101,MATCH($A374,'Préstamos'!$A$2:$A$101,0))-INDEX('Préstamos'!$J$2:$J$101,MATCH($A374,'Préstamos'!$A$2:$A$101,0))*(INDEX('Préstamos'!$G$2:$G$101,MATCH($A374,'Préstamos'!$A$2:$A$101,0))-1),INDEX('Préstamos'!$J$2:$J$101,MATCH($A374,'Préstamos'!$A$2:$A$101,0)))))</f>
        <v/>
      </c>
      <c r="G374" s="29">
        <f>IF($A374="","",IF(AND(D374&lt;&gt;"Solo interés",C374=INDEX('Préstamos'!$G$2:$G$101,MATCH($A374,'Préstamos'!$A$2:$A$101,0))),INDEX('Préstamos'!$I$2:$I$101,MATCH($A374,'Préstamos'!$A$2:$A$101,0))-INDEX('Préstamos'!$K$2:$K$101,MATCH($A374,'Préstamos'!$A$2:$A$101,0))*(INDEX('Préstamos'!$G$2:$G$101,MATCH($A374,'Préstamos'!$A$2:$A$101,0))-1),INDEX('Préstamos'!$K$2:$K$101,MATCH($A374,'Préstamos'!$A$2:$A$101,0))))</f>
        <v/>
      </c>
      <c r="H374" s="29">
        <f>IF($A374="","",F374+G374)</f>
        <v/>
      </c>
      <c r="I374" s="14" t="n"/>
      <c r="J374" s="33" t="n"/>
      <c r="K374" s="16">
        <f>IF(OR($A374="",I374="Pagado"),"",MAX(0,TODAY()-E374))</f>
        <v/>
      </c>
      <c r="L374" s="16">
        <f>IF($A374="","",IF(I374="Pagado","Pagado",IF(E374&lt;TODAY(),"Atrasado",IF(E374&lt;=EOMONTH(TODAY(),0),"Este mes","Pendiente"))))</f>
        <v/>
      </c>
      <c r="M374" s="20">
        <f>IF(OR($A374="",I374="Pagado"),"",HYPERLINK("https://wa.me/"&amp;IF(INDEX('Préstamos'!$C$2:$C$101,MATCH($A374,'Préstamos'!$A$2:$A$101,0))="","","51"&amp;SUBSTITUTE(INDEX('Préstamos'!$C$2:$C$101,MATCH($A374,'Préstamos'!$A$2:$A$101,0))," ",""))&amp;"?text="&amp;SUBSTITUTE("Hola "&amp;B374&amp;", te recuerdo que tu cuota de S/ "&amp;H374&amp;IF(E374&lt;TODAY()," vencio el "," vence el ")&amp;TEXT(E374,"dd/mm")&amp;". Gracias!"," ","%20"),"WhatsApp"))</f>
        <v/>
      </c>
    </row>
    <row r="375">
      <c r="A375" s="14" t="n"/>
      <c r="B375" s="16">
        <f>IF($A375="","",INDEX('Préstamos'!$B$2:$B$101,MATCH($A375,'Préstamos'!$A$2:$A$101,0)))</f>
        <v/>
      </c>
      <c r="C375" s="14" t="n"/>
      <c r="D375" s="14" t="n"/>
      <c r="E375" s="33" t="n"/>
      <c r="F375" s="29">
        <f>IF($A375="","",IF(D375="Solo interés",0,IF(AND(D375&lt;&gt;"Solo interés",C375=INDEX('Préstamos'!$G$2:$G$101,MATCH($A375,'Préstamos'!$A$2:$A$101,0))),INDEX('Préstamos'!$D$2:$D$101,MATCH($A375,'Préstamos'!$A$2:$A$101,0))-INDEX('Préstamos'!$J$2:$J$101,MATCH($A375,'Préstamos'!$A$2:$A$101,0))*(INDEX('Préstamos'!$G$2:$G$101,MATCH($A375,'Préstamos'!$A$2:$A$101,0))-1),INDEX('Préstamos'!$J$2:$J$101,MATCH($A375,'Préstamos'!$A$2:$A$101,0)))))</f>
        <v/>
      </c>
      <c r="G375" s="29">
        <f>IF($A375="","",IF(AND(D375&lt;&gt;"Solo interés",C375=INDEX('Préstamos'!$G$2:$G$101,MATCH($A375,'Préstamos'!$A$2:$A$101,0))),INDEX('Préstamos'!$I$2:$I$101,MATCH($A375,'Préstamos'!$A$2:$A$101,0))-INDEX('Préstamos'!$K$2:$K$101,MATCH($A375,'Préstamos'!$A$2:$A$101,0))*(INDEX('Préstamos'!$G$2:$G$101,MATCH($A375,'Préstamos'!$A$2:$A$101,0))-1),INDEX('Préstamos'!$K$2:$K$101,MATCH($A375,'Préstamos'!$A$2:$A$101,0))))</f>
        <v/>
      </c>
      <c r="H375" s="29">
        <f>IF($A375="","",F375+G375)</f>
        <v/>
      </c>
      <c r="I375" s="14" t="n"/>
      <c r="J375" s="33" t="n"/>
      <c r="K375" s="16">
        <f>IF(OR($A375="",I375="Pagado"),"",MAX(0,TODAY()-E375))</f>
        <v/>
      </c>
      <c r="L375" s="16">
        <f>IF($A375="","",IF(I375="Pagado","Pagado",IF(E375&lt;TODAY(),"Atrasado",IF(E375&lt;=EOMONTH(TODAY(),0),"Este mes","Pendiente"))))</f>
        <v/>
      </c>
      <c r="M375" s="20">
        <f>IF(OR($A375="",I375="Pagado"),"",HYPERLINK("https://wa.me/"&amp;IF(INDEX('Préstamos'!$C$2:$C$101,MATCH($A375,'Préstamos'!$A$2:$A$101,0))="","","51"&amp;SUBSTITUTE(INDEX('Préstamos'!$C$2:$C$101,MATCH($A375,'Préstamos'!$A$2:$A$101,0))," ",""))&amp;"?text="&amp;SUBSTITUTE("Hola "&amp;B375&amp;", te recuerdo que tu cuota de S/ "&amp;H375&amp;IF(E375&lt;TODAY()," vencio el "," vence el ")&amp;TEXT(E375,"dd/mm")&amp;". Gracias!"," ","%20"),"WhatsApp"))</f>
        <v/>
      </c>
    </row>
    <row r="376">
      <c r="A376" s="14" t="n"/>
      <c r="B376" s="16">
        <f>IF($A376="","",INDEX('Préstamos'!$B$2:$B$101,MATCH($A376,'Préstamos'!$A$2:$A$101,0)))</f>
        <v/>
      </c>
      <c r="C376" s="14" t="n"/>
      <c r="D376" s="14" t="n"/>
      <c r="E376" s="33" t="n"/>
      <c r="F376" s="29">
        <f>IF($A376="","",IF(D376="Solo interés",0,IF(AND(D376&lt;&gt;"Solo interés",C376=INDEX('Préstamos'!$G$2:$G$101,MATCH($A376,'Préstamos'!$A$2:$A$101,0))),INDEX('Préstamos'!$D$2:$D$101,MATCH($A376,'Préstamos'!$A$2:$A$101,0))-INDEX('Préstamos'!$J$2:$J$101,MATCH($A376,'Préstamos'!$A$2:$A$101,0))*(INDEX('Préstamos'!$G$2:$G$101,MATCH($A376,'Préstamos'!$A$2:$A$101,0))-1),INDEX('Préstamos'!$J$2:$J$101,MATCH($A376,'Préstamos'!$A$2:$A$101,0)))))</f>
        <v/>
      </c>
      <c r="G376" s="29">
        <f>IF($A376="","",IF(AND(D376&lt;&gt;"Solo interés",C376=INDEX('Préstamos'!$G$2:$G$101,MATCH($A376,'Préstamos'!$A$2:$A$101,0))),INDEX('Préstamos'!$I$2:$I$101,MATCH($A376,'Préstamos'!$A$2:$A$101,0))-INDEX('Préstamos'!$K$2:$K$101,MATCH($A376,'Préstamos'!$A$2:$A$101,0))*(INDEX('Préstamos'!$G$2:$G$101,MATCH($A376,'Préstamos'!$A$2:$A$101,0))-1),INDEX('Préstamos'!$K$2:$K$101,MATCH($A376,'Préstamos'!$A$2:$A$101,0))))</f>
        <v/>
      </c>
      <c r="H376" s="29">
        <f>IF($A376="","",F376+G376)</f>
        <v/>
      </c>
      <c r="I376" s="14" t="n"/>
      <c r="J376" s="33" t="n"/>
      <c r="K376" s="16">
        <f>IF(OR($A376="",I376="Pagado"),"",MAX(0,TODAY()-E376))</f>
        <v/>
      </c>
      <c r="L376" s="16">
        <f>IF($A376="","",IF(I376="Pagado","Pagado",IF(E376&lt;TODAY(),"Atrasado",IF(E376&lt;=EOMONTH(TODAY(),0),"Este mes","Pendiente"))))</f>
        <v/>
      </c>
      <c r="M376" s="20">
        <f>IF(OR($A376="",I376="Pagado"),"",HYPERLINK("https://wa.me/"&amp;IF(INDEX('Préstamos'!$C$2:$C$101,MATCH($A376,'Préstamos'!$A$2:$A$101,0))="","","51"&amp;SUBSTITUTE(INDEX('Préstamos'!$C$2:$C$101,MATCH($A376,'Préstamos'!$A$2:$A$101,0))," ",""))&amp;"?text="&amp;SUBSTITUTE("Hola "&amp;B376&amp;", te recuerdo que tu cuota de S/ "&amp;H376&amp;IF(E376&lt;TODAY()," vencio el "," vence el ")&amp;TEXT(E376,"dd/mm")&amp;". Gracias!"," ","%20"),"WhatsApp"))</f>
        <v/>
      </c>
    </row>
    <row r="377">
      <c r="A377" s="14" t="n"/>
      <c r="B377" s="16">
        <f>IF($A377="","",INDEX('Préstamos'!$B$2:$B$101,MATCH($A377,'Préstamos'!$A$2:$A$101,0)))</f>
        <v/>
      </c>
      <c r="C377" s="14" t="n"/>
      <c r="D377" s="14" t="n"/>
      <c r="E377" s="33" t="n"/>
      <c r="F377" s="29">
        <f>IF($A377="","",IF(D377="Solo interés",0,IF(AND(D377&lt;&gt;"Solo interés",C377=INDEX('Préstamos'!$G$2:$G$101,MATCH($A377,'Préstamos'!$A$2:$A$101,0))),INDEX('Préstamos'!$D$2:$D$101,MATCH($A377,'Préstamos'!$A$2:$A$101,0))-INDEX('Préstamos'!$J$2:$J$101,MATCH($A377,'Préstamos'!$A$2:$A$101,0))*(INDEX('Préstamos'!$G$2:$G$101,MATCH($A377,'Préstamos'!$A$2:$A$101,0))-1),INDEX('Préstamos'!$J$2:$J$101,MATCH($A377,'Préstamos'!$A$2:$A$101,0)))))</f>
        <v/>
      </c>
      <c r="G377" s="29">
        <f>IF($A377="","",IF(AND(D377&lt;&gt;"Solo interés",C377=INDEX('Préstamos'!$G$2:$G$101,MATCH($A377,'Préstamos'!$A$2:$A$101,0))),INDEX('Préstamos'!$I$2:$I$101,MATCH($A377,'Préstamos'!$A$2:$A$101,0))-INDEX('Préstamos'!$K$2:$K$101,MATCH($A377,'Préstamos'!$A$2:$A$101,0))*(INDEX('Préstamos'!$G$2:$G$101,MATCH($A377,'Préstamos'!$A$2:$A$101,0))-1),INDEX('Préstamos'!$K$2:$K$101,MATCH($A377,'Préstamos'!$A$2:$A$101,0))))</f>
        <v/>
      </c>
      <c r="H377" s="29">
        <f>IF($A377="","",F377+G377)</f>
        <v/>
      </c>
      <c r="I377" s="14" t="n"/>
      <c r="J377" s="33" t="n"/>
      <c r="K377" s="16">
        <f>IF(OR($A377="",I377="Pagado"),"",MAX(0,TODAY()-E377))</f>
        <v/>
      </c>
      <c r="L377" s="16">
        <f>IF($A377="","",IF(I377="Pagado","Pagado",IF(E377&lt;TODAY(),"Atrasado",IF(E377&lt;=EOMONTH(TODAY(),0),"Este mes","Pendiente"))))</f>
        <v/>
      </c>
      <c r="M377" s="20">
        <f>IF(OR($A377="",I377="Pagado"),"",HYPERLINK("https://wa.me/"&amp;IF(INDEX('Préstamos'!$C$2:$C$101,MATCH($A377,'Préstamos'!$A$2:$A$101,0))="","","51"&amp;SUBSTITUTE(INDEX('Préstamos'!$C$2:$C$101,MATCH($A377,'Préstamos'!$A$2:$A$101,0))," ",""))&amp;"?text="&amp;SUBSTITUTE("Hola "&amp;B377&amp;", te recuerdo que tu cuota de S/ "&amp;H377&amp;IF(E377&lt;TODAY()," vencio el "," vence el ")&amp;TEXT(E377,"dd/mm")&amp;". Gracias!"," ","%20"),"WhatsApp"))</f>
        <v/>
      </c>
    </row>
    <row r="378">
      <c r="A378" s="14" t="n"/>
      <c r="B378" s="16">
        <f>IF($A378="","",INDEX('Préstamos'!$B$2:$B$101,MATCH($A378,'Préstamos'!$A$2:$A$101,0)))</f>
        <v/>
      </c>
      <c r="C378" s="14" t="n"/>
      <c r="D378" s="14" t="n"/>
      <c r="E378" s="33" t="n"/>
      <c r="F378" s="29">
        <f>IF($A378="","",IF(D378="Solo interés",0,IF(AND(D378&lt;&gt;"Solo interés",C378=INDEX('Préstamos'!$G$2:$G$101,MATCH($A378,'Préstamos'!$A$2:$A$101,0))),INDEX('Préstamos'!$D$2:$D$101,MATCH($A378,'Préstamos'!$A$2:$A$101,0))-INDEX('Préstamos'!$J$2:$J$101,MATCH($A378,'Préstamos'!$A$2:$A$101,0))*(INDEX('Préstamos'!$G$2:$G$101,MATCH($A378,'Préstamos'!$A$2:$A$101,0))-1),INDEX('Préstamos'!$J$2:$J$101,MATCH($A378,'Préstamos'!$A$2:$A$101,0)))))</f>
        <v/>
      </c>
      <c r="G378" s="29">
        <f>IF($A378="","",IF(AND(D378&lt;&gt;"Solo interés",C378=INDEX('Préstamos'!$G$2:$G$101,MATCH($A378,'Préstamos'!$A$2:$A$101,0))),INDEX('Préstamos'!$I$2:$I$101,MATCH($A378,'Préstamos'!$A$2:$A$101,0))-INDEX('Préstamos'!$K$2:$K$101,MATCH($A378,'Préstamos'!$A$2:$A$101,0))*(INDEX('Préstamos'!$G$2:$G$101,MATCH($A378,'Préstamos'!$A$2:$A$101,0))-1),INDEX('Préstamos'!$K$2:$K$101,MATCH($A378,'Préstamos'!$A$2:$A$101,0))))</f>
        <v/>
      </c>
      <c r="H378" s="29">
        <f>IF($A378="","",F378+G378)</f>
        <v/>
      </c>
      <c r="I378" s="14" t="n"/>
      <c r="J378" s="33" t="n"/>
      <c r="K378" s="16">
        <f>IF(OR($A378="",I378="Pagado"),"",MAX(0,TODAY()-E378))</f>
        <v/>
      </c>
      <c r="L378" s="16">
        <f>IF($A378="","",IF(I378="Pagado","Pagado",IF(E378&lt;TODAY(),"Atrasado",IF(E378&lt;=EOMONTH(TODAY(),0),"Este mes","Pendiente"))))</f>
        <v/>
      </c>
      <c r="M378" s="20">
        <f>IF(OR($A378="",I378="Pagado"),"",HYPERLINK("https://wa.me/"&amp;IF(INDEX('Préstamos'!$C$2:$C$101,MATCH($A378,'Préstamos'!$A$2:$A$101,0))="","","51"&amp;SUBSTITUTE(INDEX('Préstamos'!$C$2:$C$101,MATCH($A378,'Préstamos'!$A$2:$A$101,0))," ",""))&amp;"?text="&amp;SUBSTITUTE("Hola "&amp;B378&amp;", te recuerdo que tu cuota de S/ "&amp;H378&amp;IF(E378&lt;TODAY()," vencio el "," vence el ")&amp;TEXT(E378,"dd/mm")&amp;". Gracias!"," ","%20"),"WhatsApp"))</f>
        <v/>
      </c>
    </row>
    <row r="379">
      <c r="A379" s="14" t="n"/>
      <c r="B379" s="16">
        <f>IF($A379="","",INDEX('Préstamos'!$B$2:$B$101,MATCH($A379,'Préstamos'!$A$2:$A$101,0)))</f>
        <v/>
      </c>
      <c r="C379" s="14" t="n"/>
      <c r="D379" s="14" t="n"/>
      <c r="E379" s="33" t="n"/>
      <c r="F379" s="29">
        <f>IF($A379="","",IF(D379="Solo interés",0,IF(AND(D379&lt;&gt;"Solo interés",C379=INDEX('Préstamos'!$G$2:$G$101,MATCH($A379,'Préstamos'!$A$2:$A$101,0))),INDEX('Préstamos'!$D$2:$D$101,MATCH($A379,'Préstamos'!$A$2:$A$101,0))-INDEX('Préstamos'!$J$2:$J$101,MATCH($A379,'Préstamos'!$A$2:$A$101,0))*(INDEX('Préstamos'!$G$2:$G$101,MATCH($A379,'Préstamos'!$A$2:$A$101,0))-1),INDEX('Préstamos'!$J$2:$J$101,MATCH($A379,'Préstamos'!$A$2:$A$101,0)))))</f>
        <v/>
      </c>
      <c r="G379" s="29">
        <f>IF($A379="","",IF(AND(D379&lt;&gt;"Solo interés",C379=INDEX('Préstamos'!$G$2:$G$101,MATCH($A379,'Préstamos'!$A$2:$A$101,0))),INDEX('Préstamos'!$I$2:$I$101,MATCH($A379,'Préstamos'!$A$2:$A$101,0))-INDEX('Préstamos'!$K$2:$K$101,MATCH($A379,'Préstamos'!$A$2:$A$101,0))*(INDEX('Préstamos'!$G$2:$G$101,MATCH($A379,'Préstamos'!$A$2:$A$101,0))-1),INDEX('Préstamos'!$K$2:$K$101,MATCH($A379,'Préstamos'!$A$2:$A$101,0))))</f>
        <v/>
      </c>
      <c r="H379" s="29">
        <f>IF($A379="","",F379+G379)</f>
        <v/>
      </c>
      <c r="I379" s="14" t="n"/>
      <c r="J379" s="33" t="n"/>
      <c r="K379" s="16">
        <f>IF(OR($A379="",I379="Pagado"),"",MAX(0,TODAY()-E379))</f>
        <v/>
      </c>
      <c r="L379" s="16">
        <f>IF($A379="","",IF(I379="Pagado","Pagado",IF(E379&lt;TODAY(),"Atrasado",IF(E379&lt;=EOMONTH(TODAY(),0),"Este mes","Pendiente"))))</f>
        <v/>
      </c>
      <c r="M379" s="20">
        <f>IF(OR($A379="",I379="Pagado"),"",HYPERLINK("https://wa.me/"&amp;IF(INDEX('Préstamos'!$C$2:$C$101,MATCH($A379,'Préstamos'!$A$2:$A$101,0))="","","51"&amp;SUBSTITUTE(INDEX('Préstamos'!$C$2:$C$101,MATCH($A379,'Préstamos'!$A$2:$A$101,0))," ",""))&amp;"?text="&amp;SUBSTITUTE("Hola "&amp;B379&amp;", te recuerdo que tu cuota de S/ "&amp;H379&amp;IF(E379&lt;TODAY()," vencio el "," vence el ")&amp;TEXT(E379,"dd/mm")&amp;". Gracias!"," ","%20"),"WhatsApp"))</f>
        <v/>
      </c>
    </row>
    <row r="380">
      <c r="A380" s="14" t="n"/>
      <c r="B380" s="16">
        <f>IF($A380="","",INDEX('Préstamos'!$B$2:$B$101,MATCH($A380,'Préstamos'!$A$2:$A$101,0)))</f>
        <v/>
      </c>
      <c r="C380" s="14" t="n"/>
      <c r="D380" s="14" t="n"/>
      <c r="E380" s="33" t="n"/>
      <c r="F380" s="29">
        <f>IF($A380="","",IF(D380="Solo interés",0,IF(AND(D380&lt;&gt;"Solo interés",C380=INDEX('Préstamos'!$G$2:$G$101,MATCH($A380,'Préstamos'!$A$2:$A$101,0))),INDEX('Préstamos'!$D$2:$D$101,MATCH($A380,'Préstamos'!$A$2:$A$101,0))-INDEX('Préstamos'!$J$2:$J$101,MATCH($A380,'Préstamos'!$A$2:$A$101,0))*(INDEX('Préstamos'!$G$2:$G$101,MATCH($A380,'Préstamos'!$A$2:$A$101,0))-1),INDEX('Préstamos'!$J$2:$J$101,MATCH($A380,'Préstamos'!$A$2:$A$101,0)))))</f>
        <v/>
      </c>
      <c r="G380" s="29">
        <f>IF($A380="","",IF(AND(D380&lt;&gt;"Solo interés",C380=INDEX('Préstamos'!$G$2:$G$101,MATCH($A380,'Préstamos'!$A$2:$A$101,0))),INDEX('Préstamos'!$I$2:$I$101,MATCH($A380,'Préstamos'!$A$2:$A$101,0))-INDEX('Préstamos'!$K$2:$K$101,MATCH($A380,'Préstamos'!$A$2:$A$101,0))*(INDEX('Préstamos'!$G$2:$G$101,MATCH($A380,'Préstamos'!$A$2:$A$101,0))-1),INDEX('Préstamos'!$K$2:$K$101,MATCH($A380,'Préstamos'!$A$2:$A$101,0))))</f>
        <v/>
      </c>
      <c r="H380" s="29">
        <f>IF($A380="","",F380+G380)</f>
        <v/>
      </c>
      <c r="I380" s="14" t="n"/>
      <c r="J380" s="33" t="n"/>
      <c r="K380" s="16">
        <f>IF(OR($A380="",I380="Pagado"),"",MAX(0,TODAY()-E380))</f>
        <v/>
      </c>
      <c r="L380" s="16">
        <f>IF($A380="","",IF(I380="Pagado","Pagado",IF(E380&lt;TODAY(),"Atrasado",IF(E380&lt;=EOMONTH(TODAY(),0),"Este mes","Pendiente"))))</f>
        <v/>
      </c>
      <c r="M380" s="20">
        <f>IF(OR($A380="",I380="Pagado"),"",HYPERLINK("https://wa.me/"&amp;IF(INDEX('Préstamos'!$C$2:$C$101,MATCH($A380,'Préstamos'!$A$2:$A$101,0))="","","51"&amp;SUBSTITUTE(INDEX('Préstamos'!$C$2:$C$101,MATCH($A380,'Préstamos'!$A$2:$A$101,0))," ",""))&amp;"?text="&amp;SUBSTITUTE("Hola "&amp;B380&amp;", te recuerdo que tu cuota de S/ "&amp;H380&amp;IF(E380&lt;TODAY()," vencio el "," vence el ")&amp;TEXT(E380,"dd/mm")&amp;". Gracias!"," ","%20"),"WhatsApp"))</f>
        <v/>
      </c>
    </row>
    <row r="381">
      <c r="A381" s="14" t="n"/>
      <c r="B381" s="16">
        <f>IF($A381="","",INDEX('Préstamos'!$B$2:$B$101,MATCH($A381,'Préstamos'!$A$2:$A$101,0)))</f>
        <v/>
      </c>
      <c r="C381" s="14" t="n"/>
      <c r="D381" s="14" t="n"/>
      <c r="E381" s="33" t="n"/>
      <c r="F381" s="29">
        <f>IF($A381="","",IF(D381="Solo interés",0,IF(AND(D381&lt;&gt;"Solo interés",C381=INDEX('Préstamos'!$G$2:$G$101,MATCH($A381,'Préstamos'!$A$2:$A$101,0))),INDEX('Préstamos'!$D$2:$D$101,MATCH($A381,'Préstamos'!$A$2:$A$101,0))-INDEX('Préstamos'!$J$2:$J$101,MATCH($A381,'Préstamos'!$A$2:$A$101,0))*(INDEX('Préstamos'!$G$2:$G$101,MATCH($A381,'Préstamos'!$A$2:$A$101,0))-1),INDEX('Préstamos'!$J$2:$J$101,MATCH($A381,'Préstamos'!$A$2:$A$101,0)))))</f>
        <v/>
      </c>
      <c r="G381" s="29">
        <f>IF($A381="","",IF(AND(D381&lt;&gt;"Solo interés",C381=INDEX('Préstamos'!$G$2:$G$101,MATCH($A381,'Préstamos'!$A$2:$A$101,0))),INDEX('Préstamos'!$I$2:$I$101,MATCH($A381,'Préstamos'!$A$2:$A$101,0))-INDEX('Préstamos'!$K$2:$K$101,MATCH($A381,'Préstamos'!$A$2:$A$101,0))*(INDEX('Préstamos'!$G$2:$G$101,MATCH($A381,'Préstamos'!$A$2:$A$101,0))-1),INDEX('Préstamos'!$K$2:$K$101,MATCH($A381,'Préstamos'!$A$2:$A$101,0))))</f>
        <v/>
      </c>
      <c r="H381" s="29">
        <f>IF($A381="","",F381+G381)</f>
        <v/>
      </c>
      <c r="I381" s="14" t="n"/>
      <c r="J381" s="33" t="n"/>
      <c r="K381" s="16">
        <f>IF(OR($A381="",I381="Pagado"),"",MAX(0,TODAY()-E381))</f>
        <v/>
      </c>
      <c r="L381" s="16">
        <f>IF($A381="","",IF(I381="Pagado","Pagado",IF(E381&lt;TODAY(),"Atrasado",IF(E381&lt;=EOMONTH(TODAY(),0),"Este mes","Pendiente"))))</f>
        <v/>
      </c>
      <c r="M381" s="20">
        <f>IF(OR($A381="",I381="Pagado"),"",HYPERLINK("https://wa.me/"&amp;IF(INDEX('Préstamos'!$C$2:$C$101,MATCH($A381,'Préstamos'!$A$2:$A$101,0))="","","51"&amp;SUBSTITUTE(INDEX('Préstamos'!$C$2:$C$101,MATCH($A381,'Préstamos'!$A$2:$A$101,0))," ",""))&amp;"?text="&amp;SUBSTITUTE("Hola "&amp;B381&amp;", te recuerdo que tu cuota de S/ "&amp;H381&amp;IF(E381&lt;TODAY()," vencio el "," vence el ")&amp;TEXT(E381,"dd/mm")&amp;". Gracias!"," ","%20"),"WhatsApp"))</f>
        <v/>
      </c>
    </row>
    <row r="382">
      <c r="A382" s="14" t="n"/>
      <c r="B382" s="16">
        <f>IF($A382="","",INDEX('Préstamos'!$B$2:$B$101,MATCH($A382,'Préstamos'!$A$2:$A$101,0)))</f>
        <v/>
      </c>
      <c r="C382" s="14" t="n"/>
      <c r="D382" s="14" t="n"/>
      <c r="E382" s="33" t="n"/>
      <c r="F382" s="29">
        <f>IF($A382="","",IF(D382="Solo interés",0,IF(AND(D382&lt;&gt;"Solo interés",C382=INDEX('Préstamos'!$G$2:$G$101,MATCH($A382,'Préstamos'!$A$2:$A$101,0))),INDEX('Préstamos'!$D$2:$D$101,MATCH($A382,'Préstamos'!$A$2:$A$101,0))-INDEX('Préstamos'!$J$2:$J$101,MATCH($A382,'Préstamos'!$A$2:$A$101,0))*(INDEX('Préstamos'!$G$2:$G$101,MATCH($A382,'Préstamos'!$A$2:$A$101,0))-1),INDEX('Préstamos'!$J$2:$J$101,MATCH($A382,'Préstamos'!$A$2:$A$101,0)))))</f>
        <v/>
      </c>
      <c r="G382" s="29">
        <f>IF($A382="","",IF(AND(D382&lt;&gt;"Solo interés",C382=INDEX('Préstamos'!$G$2:$G$101,MATCH($A382,'Préstamos'!$A$2:$A$101,0))),INDEX('Préstamos'!$I$2:$I$101,MATCH($A382,'Préstamos'!$A$2:$A$101,0))-INDEX('Préstamos'!$K$2:$K$101,MATCH($A382,'Préstamos'!$A$2:$A$101,0))*(INDEX('Préstamos'!$G$2:$G$101,MATCH($A382,'Préstamos'!$A$2:$A$101,0))-1),INDEX('Préstamos'!$K$2:$K$101,MATCH($A382,'Préstamos'!$A$2:$A$101,0))))</f>
        <v/>
      </c>
      <c r="H382" s="29">
        <f>IF($A382="","",F382+G382)</f>
        <v/>
      </c>
      <c r="I382" s="14" t="n"/>
      <c r="J382" s="33" t="n"/>
      <c r="K382" s="16">
        <f>IF(OR($A382="",I382="Pagado"),"",MAX(0,TODAY()-E382))</f>
        <v/>
      </c>
      <c r="L382" s="16">
        <f>IF($A382="","",IF(I382="Pagado","Pagado",IF(E382&lt;TODAY(),"Atrasado",IF(E382&lt;=EOMONTH(TODAY(),0),"Este mes","Pendiente"))))</f>
        <v/>
      </c>
      <c r="M382" s="20">
        <f>IF(OR($A382="",I382="Pagado"),"",HYPERLINK("https://wa.me/"&amp;IF(INDEX('Préstamos'!$C$2:$C$101,MATCH($A382,'Préstamos'!$A$2:$A$101,0))="","","51"&amp;SUBSTITUTE(INDEX('Préstamos'!$C$2:$C$101,MATCH($A382,'Préstamos'!$A$2:$A$101,0))," ",""))&amp;"?text="&amp;SUBSTITUTE("Hola "&amp;B382&amp;", te recuerdo que tu cuota de S/ "&amp;H382&amp;IF(E382&lt;TODAY()," vencio el "," vence el ")&amp;TEXT(E382,"dd/mm")&amp;". Gracias!"," ","%20"),"WhatsApp"))</f>
        <v/>
      </c>
    </row>
    <row r="383">
      <c r="A383" s="14" t="n"/>
      <c r="B383" s="16">
        <f>IF($A383="","",INDEX('Préstamos'!$B$2:$B$101,MATCH($A383,'Préstamos'!$A$2:$A$101,0)))</f>
        <v/>
      </c>
      <c r="C383" s="14" t="n"/>
      <c r="D383" s="14" t="n"/>
      <c r="E383" s="33" t="n"/>
      <c r="F383" s="29">
        <f>IF($A383="","",IF(D383="Solo interés",0,IF(AND(D383&lt;&gt;"Solo interés",C383=INDEX('Préstamos'!$G$2:$G$101,MATCH($A383,'Préstamos'!$A$2:$A$101,0))),INDEX('Préstamos'!$D$2:$D$101,MATCH($A383,'Préstamos'!$A$2:$A$101,0))-INDEX('Préstamos'!$J$2:$J$101,MATCH($A383,'Préstamos'!$A$2:$A$101,0))*(INDEX('Préstamos'!$G$2:$G$101,MATCH($A383,'Préstamos'!$A$2:$A$101,0))-1),INDEX('Préstamos'!$J$2:$J$101,MATCH($A383,'Préstamos'!$A$2:$A$101,0)))))</f>
        <v/>
      </c>
      <c r="G383" s="29">
        <f>IF($A383="","",IF(AND(D383&lt;&gt;"Solo interés",C383=INDEX('Préstamos'!$G$2:$G$101,MATCH($A383,'Préstamos'!$A$2:$A$101,0))),INDEX('Préstamos'!$I$2:$I$101,MATCH($A383,'Préstamos'!$A$2:$A$101,0))-INDEX('Préstamos'!$K$2:$K$101,MATCH($A383,'Préstamos'!$A$2:$A$101,0))*(INDEX('Préstamos'!$G$2:$G$101,MATCH($A383,'Préstamos'!$A$2:$A$101,0))-1),INDEX('Préstamos'!$K$2:$K$101,MATCH($A383,'Préstamos'!$A$2:$A$101,0))))</f>
        <v/>
      </c>
      <c r="H383" s="29">
        <f>IF($A383="","",F383+G383)</f>
        <v/>
      </c>
      <c r="I383" s="14" t="n"/>
      <c r="J383" s="33" t="n"/>
      <c r="K383" s="16">
        <f>IF(OR($A383="",I383="Pagado"),"",MAX(0,TODAY()-E383))</f>
        <v/>
      </c>
      <c r="L383" s="16">
        <f>IF($A383="","",IF(I383="Pagado","Pagado",IF(E383&lt;TODAY(),"Atrasado",IF(E383&lt;=EOMONTH(TODAY(),0),"Este mes","Pendiente"))))</f>
        <v/>
      </c>
      <c r="M383" s="20">
        <f>IF(OR($A383="",I383="Pagado"),"",HYPERLINK("https://wa.me/"&amp;IF(INDEX('Préstamos'!$C$2:$C$101,MATCH($A383,'Préstamos'!$A$2:$A$101,0))="","","51"&amp;SUBSTITUTE(INDEX('Préstamos'!$C$2:$C$101,MATCH($A383,'Préstamos'!$A$2:$A$101,0))," ",""))&amp;"?text="&amp;SUBSTITUTE("Hola "&amp;B383&amp;", te recuerdo que tu cuota de S/ "&amp;H383&amp;IF(E383&lt;TODAY()," vencio el "," vence el ")&amp;TEXT(E383,"dd/mm")&amp;". Gracias!"," ","%20"),"WhatsApp"))</f>
        <v/>
      </c>
    </row>
    <row r="384">
      <c r="A384" s="14" t="n"/>
      <c r="B384" s="16">
        <f>IF($A384="","",INDEX('Préstamos'!$B$2:$B$101,MATCH($A384,'Préstamos'!$A$2:$A$101,0)))</f>
        <v/>
      </c>
      <c r="C384" s="14" t="n"/>
      <c r="D384" s="14" t="n"/>
      <c r="E384" s="33" t="n"/>
      <c r="F384" s="29">
        <f>IF($A384="","",IF(D384="Solo interés",0,IF(AND(D384&lt;&gt;"Solo interés",C384=INDEX('Préstamos'!$G$2:$G$101,MATCH($A384,'Préstamos'!$A$2:$A$101,0))),INDEX('Préstamos'!$D$2:$D$101,MATCH($A384,'Préstamos'!$A$2:$A$101,0))-INDEX('Préstamos'!$J$2:$J$101,MATCH($A384,'Préstamos'!$A$2:$A$101,0))*(INDEX('Préstamos'!$G$2:$G$101,MATCH($A384,'Préstamos'!$A$2:$A$101,0))-1),INDEX('Préstamos'!$J$2:$J$101,MATCH($A384,'Préstamos'!$A$2:$A$101,0)))))</f>
        <v/>
      </c>
      <c r="G384" s="29">
        <f>IF($A384="","",IF(AND(D384&lt;&gt;"Solo interés",C384=INDEX('Préstamos'!$G$2:$G$101,MATCH($A384,'Préstamos'!$A$2:$A$101,0))),INDEX('Préstamos'!$I$2:$I$101,MATCH($A384,'Préstamos'!$A$2:$A$101,0))-INDEX('Préstamos'!$K$2:$K$101,MATCH($A384,'Préstamos'!$A$2:$A$101,0))*(INDEX('Préstamos'!$G$2:$G$101,MATCH($A384,'Préstamos'!$A$2:$A$101,0))-1),INDEX('Préstamos'!$K$2:$K$101,MATCH($A384,'Préstamos'!$A$2:$A$101,0))))</f>
        <v/>
      </c>
      <c r="H384" s="29">
        <f>IF($A384="","",F384+G384)</f>
        <v/>
      </c>
      <c r="I384" s="14" t="n"/>
      <c r="J384" s="33" t="n"/>
      <c r="K384" s="16">
        <f>IF(OR($A384="",I384="Pagado"),"",MAX(0,TODAY()-E384))</f>
        <v/>
      </c>
      <c r="L384" s="16">
        <f>IF($A384="","",IF(I384="Pagado","Pagado",IF(E384&lt;TODAY(),"Atrasado",IF(E384&lt;=EOMONTH(TODAY(),0),"Este mes","Pendiente"))))</f>
        <v/>
      </c>
      <c r="M384" s="20">
        <f>IF(OR($A384="",I384="Pagado"),"",HYPERLINK("https://wa.me/"&amp;IF(INDEX('Préstamos'!$C$2:$C$101,MATCH($A384,'Préstamos'!$A$2:$A$101,0))="","","51"&amp;SUBSTITUTE(INDEX('Préstamos'!$C$2:$C$101,MATCH($A384,'Préstamos'!$A$2:$A$101,0))," ",""))&amp;"?text="&amp;SUBSTITUTE("Hola "&amp;B384&amp;", te recuerdo que tu cuota de S/ "&amp;H384&amp;IF(E384&lt;TODAY()," vencio el "," vence el ")&amp;TEXT(E384,"dd/mm")&amp;". Gracias!"," ","%20"),"WhatsApp"))</f>
        <v/>
      </c>
    </row>
    <row r="385">
      <c r="A385" s="14" t="n"/>
      <c r="B385" s="16">
        <f>IF($A385="","",INDEX('Préstamos'!$B$2:$B$101,MATCH($A385,'Préstamos'!$A$2:$A$101,0)))</f>
        <v/>
      </c>
      <c r="C385" s="14" t="n"/>
      <c r="D385" s="14" t="n"/>
      <c r="E385" s="33" t="n"/>
      <c r="F385" s="29">
        <f>IF($A385="","",IF(D385="Solo interés",0,IF(AND(D385&lt;&gt;"Solo interés",C385=INDEX('Préstamos'!$G$2:$G$101,MATCH($A385,'Préstamos'!$A$2:$A$101,0))),INDEX('Préstamos'!$D$2:$D$101,MATCH($A385,'Préstamos'!$A$2:$A$101,0))-INDEX('Préstamos'!$J$2:$J$101,MATCH($A385,'Préstamos'!$A$2:$A$101,0))*(INDEX('Préstamos'!$G$2:$G$101,MATCH($A385,'Préstamos'!$A$2:$A$101,0))-1),INDEX('Préstamos'!$J$2:$J$101,MATCH($A385,'Préstamos'!$A$2:$A$101,0)))))</f>
        <v/>
      </c>
      <c r="G385" s="29">
        <f>IF($A385="","",IF(AND(D385&lt;&gt;"Solo interés",C385=INDEX('Préstamos'!$G$2:$G$101,MATCH($A385,'Préstamos'!$A$2:$A$101,0))),INDEX('Préstamos'!$I$2:$I$101,MATCH($A385,'Préstamos'!$A$2:$A$101,0))-INDEX('Préstamos'!$K$2:$K$101,MATCH($A385,'Préstamos'!$A$2:$A$101,0))*(INDEX('Préstamos'!$G$2:$G$101,MATCH($A385,'Préstamos'!$A$2:$A$101,0))-1),INDEX('Préstamos'!$K$2:$K$101,MATCH($A385,'Préstamos'!$A$2:$A$101,0))))</f>
        <v/>
      </c>
      <c r="H385" s="29">
        <f>IF($A385="","",F385+G385)</f>
        <v/>
      </c>
      <c r="I385" s="14" t="n"/>
      <c r="J385" s="33" t="n"/>
      <c r="K385" s="16">
        <f>IF(OR($A385="",I385="Pagado"),"",MAX(0,TODAY()-E385))</f>
        <v/>
      </c>
      <c r="L385" s="16">
        <f>IF($A385="","",IF(I385="Pagado","Pagado",IF(E385&lt;TODAY(),"Atrasado",IF(E385&lt;=EOMONTH(TODAY(),0),"Este mes","Pendiente"))))</f>
        <v/>
      </c>
      <c r="M385" s="20">
        <f>IF(OR($A385="",I385="Pagado"),"",HYPERLINK("https://wa.me/"&amp;IF(INDEX('Préstamos'!$C$2:$C$101,MATCH($A385,'Préstamos'!$A$2:$A$101,0))="","","51"&amp;SUBSTITUTE(INDEX('Préstamos'!$C$2:$C$101,MATCH($A385,'Préstamos'!$A$2:$A$101,0))," ",""))&amp;"?text="&amp;SUBSTITUTE("Hola "&amp;B385&amp;", te recuerdo que tu cuota de S/ "&amp;H385&amp;IF(E385&lt;TODAY()," vencio el "," vence el ")&amp;TEXT(E385,"dd/mm")&amp;". Gracias!"," ","%20"),"WhatsApp"))</f>
        <v/>
      </c>
    </row>
    <row r="386">
      <c r="A386" s="14" t="n"/>
      <c r="B386" s="16">
        <f>IF($A386="","",INDEX('Préstamos'!$B$2:$B$101,MATCH($A386,'Préstamos'!$A$2:$A$101,0)))</f>
        <v/>
      </c>
      <c r="C386" s="14" t="n"/>
      <c r="D386" s="14" t="n"/>
      <c r="E386" s="33" t="n"/>
      <c r="F386" s="29">
        <f>IF($A386="","",IF(D386="Solo interés",0,IF(AND(D386&lt;&gt;"Solo interés",C386=INDEX('Préstamos'!$G$2:$G$101,MATCH($A386,'Préstamos'!$A$2:$A$101,0))),INDEX('Préstamos'!$D$2:$D$101,MATCH($A386,'Préstamos'!$A$2:$A$101,0))-INDEX('Préstamos'!$J$2:$J$101,MATCH($A386,'Préstamos'!$A$2:$A$101,0))*(INDEX('Préstamos'!$G$2:$G$101,MATCH($A386,'Préstamos'!$A$2:$A$101,0))-1),INDEX('Préstamos'!$J$2:$J$101,MATCH($A386,'Préstamos'!$A$2:$A$101,0)))))</f>
        <v/>
      </c>
      <c r="G386" s="29">
        <f>IF($A386="","",IF(AND(D386&lt;&gt;"Solo interés",C386=INDEX('Préstamos'!$G$2:$G$101,MATCH($A386,'Préstamos'!$A$2:$A$101,0))),INDEX('Préstamos'!$I$2:$I$101,MATCH($A386,'Préstamos'!$A$2:$A$101,0))-INDEX('Préstamos'!$K$2:$K$101,MATCH($A386,'Préstamos'!$A$2:$A$101,0))*(INDEX('Préstamos'!$G$2:$G$101,MATCH($A386,'Préstamos'!$A$2:$A$101,0))-1),INDEX('Préstamos'!$K$2:$K$101,MATCH($A386,'Préstamos'!$A$2:$A$101,0))))</f>
        <v/>
      </c>
      <c r="H386" s="29">
        <f>IF($A386="","",F386+G386)</f>
        <v/>
      </c>
      <c r="I386" s="14" t="n"/>
      <c r="J386" s="33" t="n"/>
      <c r="K386" s="16">
        <f>IF(OR($A386="",I386="Pagado"),"",MAX(0,TODAY()-E386))</f>
        <v/>
      </c>
      <c r="L386" s="16">
        <f>IF($A386="","",IF(I386="Pagado","Pagado",IF(E386&lt;TODAY(),"Atrasado",IF(E386&lt;=EOMONTH(TODAY(),0),"Este mes","Pendiente"))))</f>
        <v/>
      </c>
      <c r="M386" s="20">
        <f>IF(OR($A386="",I386="Pagado"),"",HYPERLINK("https://wa.me/"&amp;IF(INDEX('Préstamos'!$C$2:$C$101,MATCH($A386,'Préstamos'!$A$2:$A$101,0))="","","51"&amp;SUBSTITUTE(INDEX('Préstamos'!$C$2:$C$101,MATCH($A386,'Préstamos'!$A$2:$A$101,0))," ",""))&amp;"?text="&amp;SUBSTITUTE("Hola "&amp;B386&amp;", te recuerdo que tu cuota de S/ "&amp;H386&amp;IF(E386&lt;TODAY()," vencio el "," vence el ")&amp;TEXT(E386,"dd/mm")&amp;". Gracias!"," ","%20"),"WhatsApp"))</f>
        <v/>
      </c>
    </row>
    <row r="387">
      <c r="A387" s="14" t="n"/>
      <c r="B387" s="16">
        <f>IF($A387="","",INDEX('Préstamos'!$B$2:$B$101,MATCH($A387,'Préstamos'!$A$2:$A$101,0)))</f>
        <v/>
      </c>
      <c r="C387" s="14" t="n"/>
      <c r="D387" s="14" t="n"/>
      <c r="E387" s="33" t="n"/>
      <c r="F387" s="29">
        <f>IF($A387="","",IF(D387="Solo interés",0,IF(AND(D387&lt;&gt;"Solo interés",C387=INDEX('Préstamos'!$G$2:$G$101,MATCH($A387,'Préstamos'!$A$2:$A$101,0))),INDEX('Préstamos'!$D$2:$D$101,MATCH($A387,'Préstamos'!$A$2:$A$101,0))-INDEX('Préstamos'!$J$2:$J$101,MATCH($A387,'Préstamos'!$A$2:$A$101,0))*(INDEX('Préstamos'!$G$2:$G$101,MATCH($A387,'Préstamos'!$A$2:$A$101,0))-1),INDEX('Préstamos'!$J$2:$J$101,MATCH($A387,'Préstamos'!$A$2:$A$101,0)))))</f>
        <v/>
      </c>
      <c r="G387" s="29">
        <f>IF($A387="","",IF(AND(D387&lt;&gt;"Solo interés",C387=INDEX('Préstamos'!$G$2:$G$101,MATCH($A387,'Préstamos'!$A$2:$A$101,0))),INDEX('Préstamos'!$I$2:$I$101,MATCH($A387,'Préstamos'!$A$2:$A$101,0))-INDEX('Préstamos'!$K$2:$K$101,MATCH($A387,'Préstamos'!$A$2:$A$101,0))*(INDEX('Préstamos'!$G$2:$G$101,MATCH($A387,'Préstamos'!$A$2:$A$101,0))-1),INDEX('Préstamos'!$K$2:$K$101,MATCH($A387,'Préstamos'!$A$2:$A$101,0))))</f>
        <v/>
      </c>
      <c r="H387" s="29">
        <f>IF($A387="","",F387+G387)</f>
        <v/>
      </c>
      <c r="I387" s="14" t="n"/>
      <c r="J387" s="33" t="n"/>
      <c r="K387" s="16">
        <f>IF(OR($A387="",I387="Pagado"),"",MAX(0,TODAY()-E387))</f>
        <v/>
      </c>
      <c r="L387" s="16">
        <f>IF($A387="","",IF(I387="Pagado","Pagado",IF(E387&lt;TODAY(),"Atrasado",IF(E387&lt;=EOMONTH(TODAY(),0),"Este mes","Pendiente"))))</f>
        <v/>
      </c>
      <c r="M387" s="20">
        <f>IF(OR($A387="",I387="Pagado"),"",HYPERLINK("https://wa.me/"&amp;IF(INDEX('Préstamos'!$C$2:$C$101,MATCH($A387,'Préstamos'!$A$2:$A$101,0))="","","51"&amp;SUBSTITUTE(INDEX('Préstamos'!$C$2:$C$101,MATCH($A387,'Préstamos'!$A$2:$A$101,0))," ",""))&amp;"?text="&amp;SUBSTITUTE("Hola "&amp;B387&amp;", te recuerdo que tu cuota de S/ "&amp;H387&amp;IF(E387&lt;TODAY()," vencio el "," vence el ")&amp;TEXT(E387,"dd/mm")&amp;". Gracias!"," ","%20"),"WhatsApp"))</f>
        <v/>
      </c>
    </row>
    <row r="388">
      <c r="A388" s="14" t="n"/>
      <c r="B388" s="16">
        <f>IF($A388="","",INDEX('Préstamos'!$B$2:$B$101,MATCH($A388,'Préstamos'!$A$2:$A$101,0)))</f>
        <v/>
      </c>
      <c r="C388" s="14" t="n"/>
      <c r="D388" s="14" t="n"/>
      <c r="E388" s="33" t="n"/>
      <c r="F388" s="29">
        <f>IF($A388="","",IF(D388="Solo interés",0,IF(AND(D388&lt;&gt;"Solo interés",C388=INDEX('Préstamos'!$G$2:$G$101,MATCH($A388,'Préstamos'!$A$2:$A$101,0))),INDEX('Préstamos'!$D$2:$D$101,MATCH($A388,'Préstamos'!$A$2:$A$101,0))-INDEX('Préstamos'!$J$2:$J$101,MATCH($A388,'Préstamos'!$A$2:$A$101,0))*(INDEX('Préstamos'!$G$2:$G$101,MATCH($A388,'Préstamos'!$A$2:$A$101,0))-1),INDEX('Préstamos'!$J$2:$J$101,MATCH($A388,'Préstamos'!$A$2:$A$101,0)))))</f>
        <v/>
      </c>
      <c r="G388" s="29">
        <f>IF($A388="","",IF(AND(D388&lt;&gt;"Solo interés",C388=INDEX('Préstamos'!$G$2:$G$101,MATCH($A388,'Préstamos'!$A$2:$A$101,0))),INDEX('Préstamos'!$I$2:$I$101,MATCH($A388,'Préstamos'!$A$2:$A$101,0))-INDEX('Préstamos'!$K$2:$K$101,MATCH($A388,'Préstamos'!$A$2:$A$101,0))*(INDEX('Préstamos'!$G$2:$G$101,MATCH($A388,'Préstamos'!$A$2:$A$101,0))-1),INDEX('Préstamos'!$K$2:$K$101,MATCH($A388,'Préstamos'!$A$2:$A$101,0))))</f>
        <v/>
      </c>
      <c r="H388" s="29">
        <f>IF($A388="","",F388+G388)</f>
        <v/>
      </c>
      <c r="I388" s="14" t="n"/>
      <c r="J388" s="33" t="n"/>
      <c r="K388" s="16">
        <f>IF(OR($A388="",I388="Pagado"),"",MAX(0,TODAY()-E388))</f>
        <v/>
      </c>
      <c r="L388" s="16">
        <f>IF($A388="","",IF(I388="Pagado","Pagado",IF(E388&lt;TODAY(),"Atrasado",IF(E388&lt;=EOMONTH(TODAY(),0),"Este mes","Pendiente"))))</f>
        <v/>
      </c>
      <c r="M388" s="20">
        <f>IF(OR($A388="",I388="Pagado"),"",HYPERLINK("https://wa.me/"&amp;IF(INDEX('Préstamos'!$C$2:$C$101,MATCH($A388,'Préstamos'!$A$2:$A$101,0))="","","51"&amp;SUBSTITUTE(INDEX('Préstamos'!$C$2:$C$101,MATCH($A388,'Préstamos'!$A$2:$A$101,0))," ",""))&amp;"?text="&amp;SUBSTITUTE("Hola "&amp;B388&amp;", te recuerdo que tu cuota de S/ "&amp;H388&amp;IF(E388&lt;TODAY()," vencio el "," vence el ")&amp;TEXT(E388,"dd/mm")&amp;". Gracias!"," ","%20"),"WhatsApp"))</f>
        <v/>
      </c>
    </row>
    <row r="389">
      <c r="A389" s="14" t="n"/>
      <c r="B389" s="16">
        <f>IF($A389="","",INDEX('Préstamos'!$B$2:$B$101,MATCH($A389,'Préstamos'!$A$2:$A$101,0)))</f>
        <v/>
      </c>
      <c r="C389" s="14" t="n"/>
      <c r="D389" s="14" t="n"/>
      <c r="E389" s="33" t="n"/>
      <c r="F389" s="29">
        <f>IF($A389="","",IF(D389="Solo interés",0,IF(AND(D389&lt;&gt;"Solo interés",C389=INDEX('Préstamos'!$G$2:$G$101,MATCH($A389,'Préstamos'!$A$2:$A$101,0))),INDEX('Préstamos'!$D$2:$D$101,MATCH($A389,'Préstamos'!$A$2:$A$101,0))-INDEX('Préstamos'!$J$2:$J$101,MATCH($A389,'Préstamos'!$A$2:$A$101,0))*(INDEX('Préstamos'!$G$2:$G$101,MATCH($A389,'Préstamos'!$A$2:$A$101,0))-1),INDEX('Préstamos'!$J$2:$J$101,MATCH($A389,'Préstamos'!$A$2:$A$101,0)))))</f>
        <v/>
      </c>
      <c r="G389" s="29">
        <f>IF($A389="","",IF(AND(D389&lt;&gt;"Solo interés",C389=INDEX('Préstamos'!$G$2:$G$101,MATCH($A389,'Préstamos'!$A$2:$A$101,0))),INDEX('Préstamos'!$I$2:$I$101,MATCH($A389,'Préstamos'!$A$2:$A$101,0))-INDEX('Préstamos'!$K$2:$K$101,MATCH($A389,'Préstamos'!$A$2:$A$101,0))*(INDEX('Préstamos'!$G$2:$G$101,MATCH($A389,'Préstamos'!$A$2:$A$101,0))-1),INDEX('Préstamos'!$K$2:$K$101,MATCH($A389,'Préstamos'!$A$2:$A$101,0))))</f>
        <v/>
      </c>
      <c r="H389" s="29">
        <f>IF($A389="","",F389+G389)</f>
        <v/>
      </c>
      <c r="I389" s="14" t="n"/>
      <c r="J389" s="33" t="n"/>
      <c r="K389" s="16">
        <f>IF(OR($A389="",I389="Pagado"),"",MAX(0,TODAY()-E389))</f>
        <v/>
      </c>
      <c r="L389" s="16">
        <f>IF($A389="","",IF(I389="Pagado","Pagado",IF(E389&lt;TODAY(),"Atrasado",IF(E389&lt;=EOMONTH(TODAY(),0),"Este mes","Pendiente"))))</f>
        <v/>
      </c>
      <c r="M389" s="20">
        <f>IF(OR($A389="",I389="Pagado"),"",HYPERLINK("https://wa.me/"&amp;IF(INDEX('Préstamos'!$C$2:$C$101,MATCH($A389,'Préstamos'!$A$2:$A$101,0))="","","51"&amp;SUBSTITUTE(INDEX('Préstamos'!$C$2:$C$101,MATCH($A389,'Préstamos'!$A$2:$A$101,0))," ",""))&amp;"?text="&amp;SUBSTITUTE("Hola "&amp;B389&amp;", te recuerdo que tu cuota de S/ "&amp;H389&amp;IF(E389&lt;TODAY()," vencio el "," vence el ")&amp;TEXT(E389,"dd/mm")&amp;". Gracias!"," ","%20"),"WhatsApp"))</f>
        <v/>
      </c>
    </row>
    <row r="390">
      <c r="A390" s="14" t="n"/>
      <c r="B390" s="16">
        <f>IF($A390="","",INDEX('Préstamos'!$B$2:$B$101,MATCH($A390,'Préstamos'!$A$2:$A$101,0)))</f>
        <v/>
      </c>
      <c r="C390" s="14" t="n"/>
      <c r="D390" s="14" t="n"/>
      <c r="E390" s="33" t="n"/>
      <c r="F390" s="29">
        <f>IF($A390="","",IF(D390="Solo interés",0,IF(AND(D390&lt;&gt;"Solo interés",C390=INDEX('Préstamos'!$G$2:$G$101,MATCH($A390,'Préstamos'!$A$2:$A$101,0))),INDEX('Préstamos'!$D$2:$D$101,MATCH($A390,'Préstamos'!$A$2:$A$101,0))-INDEX('Préstamos'!$J$2:$J$101,MATCH($A390,'Préstamos'!$A$2:$A$101,0))*(INDEX('Préstamos'!$G$2:$G$101,MATCH($A390,'Préstamos'!$A$2:$A$101,0))-1),INDEX('Préstamos'!$J$2:$J$101,MATCH($A390,'Préstamos'!$A$2:$A$101,0)))))</f>
        <v/>
      </c>
      <c r="G390" s="29">
        <f>IF($A390="","",IF(AND(D390&lt;&gt;"Solo interés",C390=INDEX('Préstamos'!$G$2:$G$101,MATCH($A390,'Préstamos'!$A$2:$A$101,0))),INDEX('Préstamos'!$I$2:$I$101,MATCH($A390,'Préstamos'!$A$2:$A$101,0))-INDEX('Préstamos'!$K$2:$K$101,MATCH($A390,'Préstamos'!$A$2:$A$101,0))*(INDEX('Préstamos'!$G$2:$G$101,MATCH($A390,'Préstamos'!$A$2:$A$101,0))-1),INDEX('Préstamos'!$K$2:$K$101,MATCH($A390,'Préstamos'!$A$2:$A$101,0))))</f>
        <v/>
      </c>
      <c r="H390" s="29">
        <f>IF($A390="","",F390+G390)</f>
        <v/>
      </c>
      <c r="I390" s="14" t="n"/>
      <c r="J390" s="33" t="n"/>
      <c r="K390" s="16">
        <f>IF(OR($A390="",I390="Pagado"),"",MAX(0,TODAY()-E390))</f>
        <v/>
      </c>
      <c r="L390" s="16">
        <f>IF($A390="","",IF(I390="Pagado","Pagado",IF(E390&lt;TODAY(),"Atrasado",IF(E390&lt;=EOMONTH(TODAY(),0),"Este mes","Pendiente"))))</f>
        <v/>
      </c>
      <c r="M390" s="20">
        <f>IF(OR($A390="",I390="Pagado"),"",HYPERLINK("https://wa.me/"&amp;IF(INDEX('Préstamos'!$C$2:$C$101,MATCH($A390,'Préstamos'!$A$2:$A$101,0))="","","51"&amp;SUBSTITUTE(INDEX('Préstamos'!$C$2:$C$101,MATCH($A390,'Préstamos'!$A$2:$A$101,0))," ",""))&amp;"?text="&amp;SUBSTITUTE("Hola "&amp;B390&amp;", te recuerdo que tu cuota de S/ "&amp;H390&amp;IF(E390&lt;TODAY()," vencio el "," vence el ")&amp;TEXT(E390,"dd/mm")&amp;". Gracias!"," ","%20"),"WhatsApp"))</f>
        <v/>
      </c>
    </row>
    <row r="391">
      <c r="A391" s="14" t="n"/>
      <c r="B391" s="16">
        <f>IF($A391="","",INDEX('Préstamos'!$B$2:$B$101,MATCH($A391,'Préstamos'!$A$2:$A$101,0)))</f>
        <v/>
      </c>
      <c r="C391" s="14" t="n"/>
      <c r="D391" s="14" t="n"/>
      <c r="E391" s="33" t="n"/>
      <c r="F391" s="29">
        <f>IF($A391="","",IF(D391="Solo interés",0,IF(AND(D391&lt;&gt;"Solo interés",C391=INDEX('Préstamos'!$G$2:$G$101,MATCH($A391,'Préstamos'!$A$2:$A$101,0))),INDEX('Préstamos'!$D$2:$D$101,MATCH($A391,'Préstamos'!$A$2:$A$101,0))-INDEX('Préstamos'!$J$2:$J$101,MATCH($A391,'Préstamos'!$A$2:$A$101,0))*(INDEX('Préstamos'!$G$2:$G$101,MATCH($A391,'Préstamos'!$A$2:$A$101,0))-1),INDEX('Préstamos'!$J$2:$J$101,MATCH($A391,'Préstamos'!$A$2:$A$101,0)))))</f>
        <v/>
      </c>
      <c r="G391" s="29">
        <f>IF($A391="","",IF(AND(D391&lt;&gt;"Solo interés",C391=INDEX('Préstamos'!$G$2:$G$101,MATCH($A391,'Préstamos'!$A$2:$A$101,0))),INDEX('Préstamos'!$I$2:$I$101,MATCH($A391,'Préstamos'!$A$2:$A$101,0))-INDEX('Préstamos'!$K$2:$K$101,MATCH($A391,'Préstamos'!$A$2:$A$101,0))*(INDEX('Préstamos'!$G$2:$G$101,MATCH($A391,'Préstamos'!$A$2:$A$101,0))-1),INDEX('Préstamos'!$K$2:$K$101,MATCH($A391,'Préstamos'!$A$2:$A$101,0))))</f>
        <v/>
      </c>
      <c r="H391" s="29">
        <f>IF($A391="","",F391+G391)</f>
        <v/>
      </c>
      <c r="I391" s="14" t="n"/>
      <c r="J391" s="33" t="n"/>
      <c r="K391" s="16">
        <f>IF(OR($A391="",I391="Pagado"),"",MAX(0,TODAY()-E391))</f>
        <v/>
      </c>
      <c r="L391" s="16">
        <f>IF($A391="","",IF(I391="Pagado","Pagado",IF(E391&lt;TODAY(),"Atrasado",IF(E391&lt;=EOMONTH(TODAY(),0),"Este mes","Pendiente"))))</f>
        <v/>
      </c>
      <c r="M391" s="20">
        <f>IF(OR($A391="",I391="Pagado"),"",HYPERLINK("https://wa.me/"&amp;IF(INDEX('Préstamos'!$C$2:$C$101,MATCH($A391,'Préstamos'!$A$2:$A$101,0))="","","51"&amp;SUBSTITUTE(INDEX('Préstamos'!$C$2:$C$101,MATCH($A391,'Préstamos'!$A$2:$A$101,0))," ",""))&amp;"?text="&amp;SUBSTITUTE("Hola "&amp;B391&amp;", te recuerdo que tu cuota de S/ "&amp;H391&amp;IF(E391&lt;TODAY()," vencio el "," vence el ")&amp;TEXT(E391,"dd/mm")&amp;". Gracias!"," ","%20"),"WhatsApp"))</f>
        <v/>
      </c>
    </row>
    <row r="392">
      <c r="A392" s="14" t="n"/>
      <c r="B392" s="16">
        <f>IF($A392="","",INDEX('Préstamos'!$B$2:$B$101,MATCH($A392,'Préstamos'!$A$2:$A$101,0)))</f>
        <v/>
      </c>
      <c r="C392" s="14" t="n"/>
      <c r="D392" s="14" t="n"/>
      <c r="E392" s="33" t="n"/>
      <c r="F392" s="29">
        <f>IF($A392="","",IF(D392="Solo interés",0,IF(AND(D392&lt;&gt;"Solo interés",C392=INDEX('Préstamos'!$G$2:$G$101,MATCH($A392,'Préstamos'!$A$2:$A$101,0))),INDEX('Préstamos'!$D$2:$D$101,MATCH($A392,'Préstamos'!$A$2:$A$101,0))-INDEX('Préstamos'!$J$2:$J$101,MATCH($A392,'Préstamos'!$A$2:$A$101,0))*(INDEX('Préstamos'!$G$2:$G$101,MATCH($A392,'Préstamos'!$A$2:$A$101,0))-1),INDEX('Préstamos'!$J$2:$J$101,MATCH($A392,'Préstamos'!$A$2:$A$101,0)))))</f>
        <v/>
      </c>
      <c r="G392" s="29">
        <f>IF($A392="","",IF(AND(D392&lt;&gt;"Solo interés",C392=INDEX('Préstamos'!$G$2:$G$101,MATCH($A392,'Préstamos'!$A$2:$A$101,0))),INDEX('Préstamos'!$I$2:$I$101,MATCH($A392,'Préstamos'!$A$2:$A$101,0))-INDEX('Préstamos'!$K$2:$K$101,MATCH($A392,'Préstamos'!$A$2:$A$101,0))*(INDEX('Préstamos'!$G$2:$G$101,MATCH($A392,'Préstamos'!$A$2:$A$101,0))-1),INDEX('Préstamos'!$K$2:$K$101,MATCH($A392,'Préstamos'!$A$2:$A$101,0))))</f>
        <v/>
      </c>
      <c r="H392" s="29">
        <f>IF($A392="","",F392+G392)</f>
        <v/>
      </c>
      <c r="I392" s="14" t="n"/>
      <c r="J392" s="33" t="n"/>
      <c r="K392" s="16">
        <f>IF(OR($A392="",I392="Pagado"),"",MAX(0,TODAY()-E392))</f>
        <v/>
      </c>
      <c r="L392" s="16">
        <f>IF($A392="","",IF(I392="Pagado","Pagado",IF(E392&lt;TODAY(),"Atrasado",IF(E392&lt;=EOMONTH(TODAY(),0),"Este mes","Pendiente"))))</f>
        <v/>
      </c>
      <c r="M392" s="20">
        <f>IF(OR($A392="",I392="Pagado"),"",HYPERLINK("https://wa.me/"&amp;IF(INDEX('Préstamos'!$C$2:$C$101,MATCH($A392,'Préstamos'!$A$2:$A$101,0))="","","51"&amp;SUBSTITUTE(INDEX('Préstamos'!$C$2:$C$101,MATCH($A392,'Préstamos'!$A$2:$A$101,0))," ",""))&amp;"?text="&amp;SUBSTITUTE("Hola "&amp;B392&amp;", te recuerdo que tu cuota de S/ "&amp;H392&amp;IF(E392&lt;TODAY()," vencio el "," vence el ")&amp;TEXT(E392,"dd/mm")&amp;". Gracias!"," ","%20"),"WhatsApp"))</f>
        <v/>
      </c>
    </row>
    <row r="393">
      <c r="A393" s="14" t="n"/>
      <c r="B393" s="16">
        <f>IF($A393="","",INDEX('Préstamos'!$B$2:$B$101,MATCH($A393,'Préstamos'!$A$2:$A$101,0)))</f>
        <v/>
      </c>
      <c r="C393" s="14" t="n"/>
      <c r="D393" s="14" t="n"/>
      <c r="E393" s="33" t="n"/>
      <c r="F393" s="29">
        <f>IF($A393="","",IF(D393="Solo interés",0,IF(AND(D393&lt;&gt;"Solo interés",C393=INDEX('Préstamos'!$G$2:$G$101,MATCH($A393,'Préstamos'!$A$2:$A$101,0))),INDEX('Préstamos'!$D$2:$D$101,MATCH($A393,'Préstamos'!$A$2:$A$101,0))-INDEX('Préstamos'!$J$2:$J$101,MATCH($A393,'Préstamos'!$A$2:$A$101,0))*(INDEX('Préstamos'!$G$2:$G$101,MATCH($A393,'Préstamos'!$A$2:$A$101,0))-1),INDEX('Préstamos'!$J$2:$J$101,MATCH($A393,'Préstamos'!$A$2:$A$101,0)))))</f>
        <v/>
      </c>
      <c r="G393" s="29">
        <f>IF($A393="","",IF(AND(D393&lt;&gt;"Solo interés",C393=INDEX('Préstamos'!$G$2:$G$101,MATCH($A393,'Préstamos'!$A$2:$A$101,0))),INDEX('Préstamos'!$I$2:$I$101,MATCH($A393,'Préstamos'!$A$2:$A$101,0))-INDEX('Préstamos'!$K$2:$K$101,MATCH($A393,'Préstamos'!$A$2:$A$101,0))*(INDEX('Préstamos'!$G$2:$G$101,MATCH($A393,'Préstamos'!$A$2:$A$101,0))-1),INDEX('Préstamos'!$K$2:$K$101,MATCH($A393,'Préstamos'!$A$2:$A$101,0))))</f>
        <v/>
      </c>
      <c r="H393" s="29">
        <f>IF($A393="","",F393+G393)</f>
        <v/>
      </c>
      <c r="I393" s="14" t="n"/>
      <c r="J393" s="33" t="n"/>
      <c r="K393" s="16">
        <f>IF(OR($A393="",I393="Pagado"),"",MAX(0,TODAY()-E393))</f>
        <v/>
      </c>
      <c r="L393" s="16">
        <f>IF($A393="","",IF(I393="Pagado","Pagado",IF(E393&lt;TODAY(),"Atrasado",IF(E393&lt;=EOMONTH(TODAY(),0),"Este mes","Pendiente"))))</f>
        <v/>
      </c>
      <c r="M393" s="20">
        <f>IF(OR($A393="",I393="Pagado"),"",HYPERLINK("https://wa.me/"&amp;IF(INDEX('Préstamos'!$C$2:$C$101,MATCH($A393,'Préstamos'!$A$2:$A$101,0))="","","51"&amp;SUBSTITUTE(INDEX('Préstamos'!$C$2:$C$101,MATCH($A393,'Préstamos'!$A$2:$A$101,0))," ",""))&amp;"?text="&amp;SUBSTITUTE("Hola "&amp;B393&amp;", te recuerdo que tu cuota de S/ "&amp;H393&amp;IF(E393&lt;TODAY()," vencio el "," vence el ")&amp;TEXT(E393,"dd/mm")&amp;". Gracias!"," ","%20"),"WhatsApp"))</f>
        <v/>
      </c>
    </row>
    <row r="394">
      <c r="A394" s="14" t="n"/>
      <c r="B394" s="16">
        <f>IF($A394="","",INDEX('Préstamos'!$B$2:$B$101,MATCH($A394,'Préstamos'!$A$2:$A$101,0)))</f>
        <v/>
      </c>
      <c r="C394" s="14" t="n"/>
      <c r="D394" s="14" t="n"/>
      <c r="E394" s="33" t="n"/>
      <c r="F394" s="29">
        <f>IF($A394="","",IF(D394="Solo interés",0,IF(AND(D394&lt;&gt;"Solo interés",C394=INDEX('Préstamos'!$G$2:$G$101,MATCH($A394,'Préstamos'!$A$2:$A$101,0))),INDEX('Préstamos'!$D$2:$D$101,MATCH($A394,'Préstamos'!$A$2:$A$101,0))-INDEX('Préstamos'!$J$2:$J$101,MATCH($A394,'Préstamos'!$A$2:$A$101,0))*(INDEX('Préstamos'!$G$2:$G$101,MATCH($A394,'Préstamos'!$A$2:$A$101,0))-1),INDEX('Préstamos'!$J$2:$J$101,MATCH($A394,'Préstamos'!$A$2:$A$101,0)))))</f>
        <v/>
      </c>
      <c r="G394" s="29">
        <f>IF($A394="","",IF(AND(D394&lt;&gt;"Solo interés",C394=INDEX('Préstamos'!$G$2:$G$101,MATCH($A394,'Préstamos'!$A$2:$A$101,0))),INDEX('Préstamos'!$I$2:$I$101,MATCH($A394,'Préstamos'!$A$2:$A$101,0))-INDEX('Préstamos'!$K$2:$K$101,MATCH($A394,'Préstamos'!$A$2:$A$101,0))*(INDEX('Préstamos'!$G$2:$G$101,MATCH($A394,'Préstamos'!$A$2:$A$101,0))-1),INDEX('Préstamos'!$K$2:$K$101,MATCH($A394,'Préstamos'!$A$2:$A$101,0))))</f>
        <v/>
      </c>
      <c r="H394" s="29">
        <f>IF($A394="","",F394+G394)</f>
        <v/>
      </c>
      <c r="I394" s="14" t="n"/>
      <c r="J394" s="33" t="n"/>
      <c r="K394" s="16">
        <f>IF(OR($A394="",I394="Pagado"),"",MAX(0,TODAY()-E394))</f>
        <v/>
      </c>
      <c r="L394" s="16">
        <f>IF($A394="","",IF(I394="Pagado","Pagado",IF(E394&lt;TODAY(),"Atrasado",IF(E394&lt;=EOMONTH(TODAY(),0),"Este mes","Pendiente"))))</f>
        <v/>
      </c>
      <c r="M394" s="20">
        <f>IF(OR($A394="",I394="Pagado"),"",HYPERLINK("https://wa.me/"&amp;IF(INDEX('Préstamos'!$C$2:$C$101,MATCH($A394,'Préstamos'!$A$2:$A$101,0))="","","51"&amp;SUBSTITUTE(INDEX('Préstamos'!$C$2:$C$101,MATCH($A394,'Préstamos'!$A$2:$A$101,0))," ",""))&amp;"?text="&amp;SUBSTITUTE("Hola "&amp;B394&amp;", te recuerdo que tu cuota de S/ "&amp;H394&amp;IF(E394&lt;TODAY()," vencio el "," vence el ")&amp;TEXT(E394,"dd/mm")&amp;". Gracias!"," ","%20"),"WhatsApp"))</f>
        <v/>
      </c>
    </row>
    <row r="395">
      <c r="A395" s="14" t="n"/>
      <c r="B395" s="16">
        <f>IF($A395="","",INDEX('Préstamos'!$B$2:$B$101,MATCH($A395,'Préstamos'!$A$2:$A$101,0)))</f>
        <v/>
      </c>
      <c r="C395" s="14" t="n"/>
      <c r="D395" s="14" t="n"/>
      <c r="E395" s="33" t="n"/>
      <c r="F395" s="29">
        <f>IF($A395="","",IF(D395="Solo interés",0,IF(AND(D395&lt;&gt;"Solo interés",C395=INDEX('Préstamos'!$G$2:$G$101,MATCH($A395,'Préstamos'!$A$2:$A$101,0))),INDEX('Préstamos'!$D$2:$D$101,MATCH($A395,'Préstamos'!$A$2:$A$101,0))-INDEX('Préstamos'!$J$2:$J$101,MATCH($A395,'Préstamos'!$A$2:$A$101,0))*(INDEX('Préstamos'!$G$2:$G$101,MATCH($A395,'Préstamos'!$A$2:$A$101,0))-1),INDEX('Préstamos'!$J$2:$J$101,MATCH($A395,'Préstamos'!$A$2:$A$101,0)))))</f>
        <v/>
      </c>
      <c r="G395" s="29">
        <f>IF($A395="","",IF(AND(D395&lt;&gt;"Solo interés",C395=INDEX('Préstamos'!$G$2:$G$101,MATCH($A395,'Préstamos'!$A$2:$A$101,0))),INDEX('Préstamos'!$I$2:$I$101,MATCH($A395,'Préstamos'!$A$2:$A$101,0))-INDEX('Préstamos'!$K$2:$K$101,MATCH($A395,'Préstamos'!$A$2:$A$101,0))*(INDEX('Préstamos'!$G$2:$G$101,MATCH($A395,'Préstamos'!$A$2:$A$101,0))-1),INDEX('Préstamos'!$K$2:$K$101,MATCH($A395,'Préstamos'!$A$2:$A$101,0))))</f>
        <v/>
      </c>
      <c r="H395" s="29">
        <f>IF($A395="","",F395+G395)</f>
        <v/>
      </c>
      <c r="I395" s="14" t="n"/>
      <c r="J395" s="33" t="n"/>
      <c r="K395" s="16">
        <f>IF(OR($A395="",I395="Pagado"),"",MAX(0,TODAY()-E395))</f>
        <v/>
      </c>
      <c r="L395" s="16">
        <f>IF($A395="","",IF(I395="Pagado","Pagado",IF(E395&lt;TODAY(),"Atrasado",IF(E395&lt;=EOMONTH(TODAY(),0),"Este mes","Pendiente"))))</f>
        <v/>
      </c>
      <c r="M395" s="20">
        <f>IF(OR($A395="",I395="Pagado"),"",HYPERLINK("https://wa.me/"&amp;IF(INDEX('Préstamos'!$C$2:$C$101,MATCH($A395,'Préstamos'!$A$2:$A$101,0))="","","51"&amp;SUBSTITUTE(INDEX('Préstamos'!$C$2:$C$101,MATCH($A395,'Préstamos'!$A$2:$A$101,0))," ",""))&amp;"?text="&amp;SUBSTITUTE("Hola "&amp;B395&amp;", te recuerdo que tu cuota de S/ "&amp;H395&amp;IF(E395&lt;TODAY()," vencio el "," vence el ")&amp;TEXT(E395,"dd/mm")&amp;". Gracias!"," ","%20"),"WhatsApp"))</f>
        <v/>
      </c>
    </row>
    <row r="396">
      <c r="A396" s="14" t="n"/>
      <c r="B396" s="16">
        <f>IF($A396="","",INDEX('Préstamos'!$B$2:$B$101,MATCH($A396,'Préstamos'!$A$2:$A$101,0)))</f>
        <v/>
      </c>
      <c r="C396" s="14" t="n"/>
      <c r="D396" s="14" t="n"/>
      <c r="E396" s="33" t="n"/>
      <c r="F396" s="29">
        <f>IF($A396="","",IF(D396="Solo interés",0,IF(AND(D396&lt;&gt;"Solo interés",C396=INDEX('Préstamos'!$G$2:$G$101,MATCH($A396,'Préstamos'!$A$2:$A$101,0))),INDEX('Préstamos'!$D$2:$D$101,MATCH($A396,'Préstamos'!$A$2:$A$101,0))-INDEX('Préstamos'!$J$2:$J$101,MATCH($A396,'Préstamos'!$A$2:$A$101,0))*(INDEX('Préstamos'!$G$2:$G$101,MATCH($A396,'Préstamos'!$A$2:$A$101,0))-1),INDEX('Préstamos'!$J$2:$J$101,MATCH($A396,'Préstamos'!$A$2:$A$101,0)))))</f>
        <v/>
      </c>
      <c r="G396" s="29">
        <f>IF($A396="","",IF(AND(D396&lt;&gt;"Solo interés",C396=INDEX('Préstamos'!$G$2:$G$101,MATCH($A396,'Préstamos'!$A$2:$A$101,0))),INDEX('Préstamos'!$I$2:$I$101,MATCH($A396,'Préstamos'!$A$2:$A$101,0))-INDEX('Préstamos'!$K$2:$K$101,MATCH($A396,'Préstamos'!$A$2:$A$101,0))*(INDEX('Préstamos'!$G$2:$G$101,MATCH($A396,'Préstamos'!$A$2:$A$101,0))-1),INDEX('Préstamos'!$K$2:$K$101,MATCH($A396,'Préstamos'!$A$2:$A$101,0))))</f>
        <v/>
      </c>
      <c r="H396" s="29">
        <f>IF($A396="","",F396+G396)</f>
        <v/>
      </c>
      <c r="I396" s="14" t="n"/>
      <c r="J396" s="33" t="n"/>
      <c r="K396" s="16">
        <f>IF(OR($A396="",I396="Pagado"),"",MAX(0,TODAY()-E396))</f>
        <v/>
      </c>
      <c r="L396" s="16">
        <f>IF($A396="","",IF(I396="Pagado","Pagado",IF(E396&lt;TODAY(),"Atrasado",IF(E396&lt;=EOMONTH(TODAY(),0),"Este mes","Pendiente"))))</f>
        <v/>
      </c>
      <c r="M396" s="20">
        <f>IF(OR($A396="",I396="Pagado"),"",HYPERLINK("https://wa.me/"&amp;IF(INDEX('Préstamos'!$C$2:$C$101,MATCH($A396,'Préstamos'!$A$2:$A$101,0))="","","51"&amp;SUBSTITUTE(INDEX('Préstamos'!$C$2:$C$101,MATCH($A396,'Préstamos'!$A$2:$A$101,0))," ",""))&amp;"?text="&amp;SUBSTITUTE("Hola "&amp;B396&amp;", te recuerdo que tu cuota de S/ "&amp;H396&amp;IF(E396&lt;TODAY()," vencio el "," vence el ")&amp;TEXT(E396,"dd/mm")&amp;". Gracias!"," ","%20"),"WhatsApp"))</f>
        <v/>
      </c>
    </row>
    <row r="397">
      <c r="A397" s="14" t="n"/>
      <c r="B397" s="16">
        <f>IF($A397="","",INDEX('Préstamos'!$B$2:$B$101,MATCH($A397,'Préstamos'!$A$2:$A$101,0)))</f>
        <v/>
      </c>
      <c r="C397" s="14" t="n"/>
      <c r="D397" s="14" t="n"/>
      <c r="E397" s="33" t="n"/>
      <c r="F397" s="29">
        <f>IF($A397="","",IF(D397="Solo interés",0,IF(AND(D397&lt;&gt;"Solo interés",C397=INDEX('Préstamos'!$G$2:$G$101,MATCH($A397,'Préstamos'!$A$2:$A$101,0))),INDEX('Préstamos'!$D$2:$D$101,MATCH($A397,'Préstamos'!$A$2:$A$101,0))-INDEX('Préstamos'!$J$2:$J$101,MATCH($A397,'Préstamos'!$A$2:$A$101,0))*(INDEX('Préstamos'!$G$2:$G$101,MATCH($A397,'Préstamos'!$A$2:$A$101,0))-1),INDEX('Préstamos'!$J$2:$J$101,MATCH($A397,'Préstamos'!$A$2:$A$101,0)))))</f>
        <v/>
      </c>
      <c r="G397" s="29">
        <f>IF($A397="","",IF(AND(D397&lt;&gt;"Solo interés",C397=INDEX('Préstamos'!$G$2:$G$101,MATCH($A397,'Préstamos'!$A$2:$A$101,0))),INDEX('Préstamos'!$I$2:$I$101,MATCH($A397,'Préstamos'!$A$2:$A$101,0))-INDEX('Préstamos'!$K$2:$K$101,MATCH($A397,'Préstamos'!$A$2:$A$101,0))*(INDEX('Préstamos'!$G$2:$G$101,MATCH($A397,'Préstamos'!$A$2:$A$101,0))-1),INDEX('Préstamos'!$K$2:$K$101,MATCH($A397,'Préstamos'!$A$2:$A$101,0))))</f>
        <v/>
      </c>
      <c r="H397" s="29">
        <f>IF($A397="","",F397+G397)</f>
        <v/>
      </c>
      <c r="I397" s="14" t="n"/>
      <c r="J397" s="33" t="n"/>
      <c r="K397" s="16">
        <f>IF(OR($A397="",I397="Pagado"),"",MAX(0,TODAY()-E397))</f>
        <v/>
      </c>
      <c r="L397" s="16">
        <f>IF($A397="","",IF(I397="Pagado","Pagado",IF(E397&lt;TODAY(),"Atrasado",IF(E397&lt;=EOMONTH(TODAY(),0),"Este mes","Pendiente"))))</f>
        <v/>
      </c>
      <c r="M397" s="20">
        <f>IF(OR($A397="",I397="Pagado"),"",HYPERLINK("https://wa.me/"&amp;IF(INDEX('Préstamos'!$C$2:$C$101,MATCH($A397,'Préstamos'!$A$2:$A$101,0))="","","51"&amp;SUBSTITUTE(INDEX('Préstamos'!$C$2:$C$101,MATCH($A397,'Préstamos'!$A$2:$A$101,0))," ",""))&amp;"?text="&amp;SUBSTITUTE("Hola "&amp;B397&amp;", te recuerdo que tu cuota de S/ "&amp;H397&amp;IF(E397&lt;TODAY()," vencio el "," vence el ")&amp;TEXT(E397,"dd/mm")&amp;". Gracias!"," ","%20"),"WhatsApp"))</f>
        <v/>
      </c>
    </row>
    <row r="398">
      <c r="A398" s="14" t="n"/>
      <c r="B398" s="16">
        <f>IF($A398="","",INDEX('Préstamos'!$B$2:$B$101,MATCH($A398,'Préstamos'!$A$2:$A$101,0)))</f>
        <v/>
      </c>
      <c r="C398" s="14" t="n"/>
      <c r="D398" s="14" t="n"/>
      <c r="E398" s="33" t="n"/>
      <c r="F398" s="29">
        <f>IF($A398="","",IF(D398="Solo interés",0,IF(AND(D398&lt;&gt;"Solo interés",C398=INDEX('Préstamos'!$G$2:$G$101,MATCH($A398,'Préstamos'!$A$2:$A$101,0))),INDEX('Préstamos'!$D$2:$D$101,MATCH($A398,'Préstamos'!$A$2:$A$101,0))-INDEX('Préstamos'!$J$2:$J$101,MATCH($A398,'Préstamos'!$A$2:$A$101,0))*(INDEX('Préstamos'!$G$2:$G$101,MATCH($A398,'Préstamos'!$A$2:$A$101,0))-1),INDEX('Préstamos'!$J$2:$J$101,MATCH($A398,'Préstamos'!$A$2:$A$101,0)))))</f>
        <v/>
      </c>
      <c r="G398" s="29">
        <f>IF($A398="","",IF(AND(D398&lt;&gt;"Solo interés",C398=INDEX('Préstamos'!$G$2:$G$101,MATCH($A398,'Préstamos'!$A$2:$A$101,0))),INDEX('Préstamos'!$I$2:$I$101,MATCH($A398,'Préstamos'!$A$2:$A$101,0))-INDEX('Préstamos'!$K$2:$K$101,MATCH($A398,'Préstamos'!$A$2:$A$101,0))*(INDEX('Préstamos'!$G$2:$G$101,MATCH($A398,'Préstamos'!$A$2:$A$101,0))-1),INDEX('Préstamos'!$K$2:$K$101,MATCH($A398,'Préstamos'!$A$2:$A$101,0))))</f>
        <v/>
      </c>
      <c r="H398" s="29">
        <f>IF($A398="","",F398+G398)</f>
        <v/>
      </c>
      <c r="I398" s="14" t="n"/>
      <c r="J398" s="33" t="n"/>
      <c r="K398" s="16">
        <f>IF(OR($A398="",I398="Pagado"),"",MAX(0,TODAY()-E398))</f>
        <v/>
      </c>
      <c r="L398" s="16">
        <f>IF($A398="","",IF(I398="Pagado","Pagado",IF(E398&lt;TODAY(),"Atrasado",IF(E398&lt;=EOMONTH(TODAY(),0),"Este mes","Pendiente"))))</f>
        <v/>
      </c>
      <c r="M398" s="20">
        <f>IF(OR($A398="",I398="Pagado"),"",HYPERLINK("https://wa.me/"&amp;IF(INDEX('Préstamos'!$C$2:$C$101,MATCH($A398,'Préstamos'!$A$2:$A$101,0))="","","51"&amp;SUBSTITUTE(INDEX('Préstamos'!$C$2:$C$101,MATCH($A398,'Préstamos'!$A$2:$A$101,0))," ",""))&amp;"?text="&amp;SUBSTITUTE("Hola "&amp;B398&amp;", te recuerdo que tu cuota de S/ "&amp;H398&amp;IF(E398&lt;TODAY()," vencio el "," vence el ")&amp;TEXT(E398,"dd/mm")&amp;". Gracias!"," ","%20"),"WhatsApp"))</f>
        <v/>
      </c>
    </row>
    <row r="399">
      <c r="A399" s="14" t="n"/>
      <c r="B399" s="16">
        <f>IF($A399="","",INDEX('Préstamos'!$B$2:$B$101,MATCH($A399,'Préstamos'!$A$2:$A$101,0)))</f>
        <v/>
      </c>
      <c r="C399" s="14" t="n"/>
      <c r="D399" s="14" t="n"/>
      <c r="E399" s="33" t="n"/>
      <c r="F399" s="29">
        <f>IF($A399="","",IF(D399="Solo interés",0,IF(AND(D399&lt;&gt;"Solo interés",C399=INDEX('Préstamos'!$G$2:$G$101,MATCH($A399,'Préstamos'!$A$2:$A$101,0))),INDEX('Préstamos'!$D$2:$D$101,MATCH($A399,'Préstamos'!$A$2:$A$101,0))-INDEX('Préstamos'!$J$2:$J$101,MATCH($A399,'Préstamos'!$A$2:$A$101,0))*(INDEX('Préstamos'!$G$2:$G$101,MATCH($A399,'Préstamos'!$A$2:$A$101,0))-1),INDEX('Préstamos'!$J$2:$J$101,MATCH($A399,'Préstamos'!$A$2:$A$101,0)))))</f>
        <v/>
      </c>
      <c r="G399" s="29">
        <f>IF($A399="","",IF(AND(D399&lt;&gt;"Solo interés",C399=INDEX('Préstamos'!$G$2:$G$101,MATCH($A399,'Préstamos'!$A$2:$A$101,0))),INDEX('Préstamos'!$I$2:$I$101,MATCH($A399,'Préstamos'!$A$2:$A$101,0))-INDEX('Préstamos'!$K$2:$K$101,MATCH($A399,'Préstamos'!$A$2:$A$101,0))*(INDEX('Préstamos'!$G$2:$G$101,MATCH($A399,'Préstamos'!$A$2:$A$101,0))-1),INDEX('Préstamos'!$K$2:$K$101,MATCH($A399,'Préstamos'!$A$2:$A$101,0))))</f>
        <v/>
      </c>
      <c r="H399" s="29">
        <f>IF($A399="","",F399+G399)</f>
        <v/>
      </c>
      <c r="I399" s="14" t="n"/>
      <c r="J399" s="33" t="n"/>
      <c r="K399" s="16">
        <f>IF(OR($A399="",I399="Pagado"),"",MAX(0,TODAY()-E399))</f>
        <v/>
      </c>
      <c r="L399" s="16">
        <f>IF($A399="","",IF(I399="Pagado","Pagado",IF(E399&lt;TODAY(),"Atrasado",IF(E399&lt;=EOMONTH(TODAY(),0),"Este mes","Pendiente"))))</f>
        <v/>
      </c>
      <c r="M399" s="20">
        <f>IF(OR($A399="",I399="Pagado"),"",HYPERLINK("https://wa.me/"&amp;IF(INDEX('Préstamos'!$C$2:$C$101,MATCH($A399,'Préstamos'!$A$2:$A$101,0))="","","51"&amp;SUBSTITUTE(INDEX('Préstamos'!$C$2:$C$101,MATCH($A399,'Préstamos'!$A$2:$A$101,0))," ",""))&amp;"?text="&amp;SUBSTITUTE("Hola "&amp;B399&amp;", te recuerdo que tu cuota de S/ "&amp;H399&amp;IF(E399&lt;TODAY()," vencio el "," vence el ")&amp;TEXT(E399,"dd/mm")&amp;". Gracias!"," ","%20"),"WhatsApp"))</f>
        <v/>
      </c>
    </row>
    <row r="400">
      <c r="A400" s="14" t="n"/>
      <c r="B400" s="16">
        <f>IF($A400="","",INDEX('Préstamos'!$B$2:$B$101,MATCH($A400,'Préstamos'!$A$2:$A$101,0)))</f>
        <v/>
      </c>
      <c r="C400" s="14" t="n"/>
      <c r="D400" s="14" t="n"/>
      <c r="E400" s="33" t="n"/>
      <c r="F400" s="29">
        <f>IF($A400="","",IF(D400="Solo interés",0,IF(AND(D400&lt;&gt;"Solo interés",C400=INDEX('Préstamos'!$G$2:$G$101,MATCH($A400,'Préstamos'!$A$2:$A$101,0))),INDEX('Préstamos'!$D$2:$D$101,MATCH($A400,'Préstamos'!$A$2:$A$101,0))-INDEX('Préstamos'!$J$2:$J$101,MATCH($A400,'Préstamos'!$A$2:$A$101,0))*(INDEX('Préstamos'!$G$2:$G$101,MATCH($A400,'Préstamos'!$A$2:$A$101,0))-1),INDEX('Préstamos'!$J$2:$J$101,MATCH($A400,'Préstamos'!$A$2:$A$101,0)))))</f>
        <v/>
      </c>
      <c r="G400" s="29">
        <f>IF($A400="","",IF(AND(D400&lt;&gt;"Solo interés",C400=INDEX('Préstamos'!$G$2:$G$101,MATCH($A400,'Préstamos'!$A$2:$A$101,0))),INDEX('Préstamos'!$I$2:$I$101,MATCH($A400,'Préstamos'!$A$2:$A$101,0))-INDEX('Préstamos'!$K$2:$K$101,MATCH($A400,'Préstamos'!$A$2:$A$101,0))*(INDEX('Préstamos'!$G$2:$G$101,MATCH($A400,'Préstamos'!$A$2:$A$101,0))-1),INDEX('Préstamos'!$K$2:$K$101,MATCH($A400,'Préstamos'!$A$2:$A$101,0))))</f>
        <v/>
      </c>
      <c r="H400" s="29">
        <f>IF($A400="","",F400+G400)</f>
        <v/>
      </c>
      <c r="I400" s="14" t="n"/>
      <c r="J400" s="33" t="n"/>
      <c r="K400" s="16">
        <f>IF(OR($A400="",I400="Pagado"),"",MAX(0,TODAY()-E400))</f>
        <v/>
      </c>
      <c r="L400" s="16">
        <f>IF($A400="","",IF(I400="Pagado","Pagado",IF(E400&lt;TODAY(),"Atrasado",IF(E400&lt;=EOMONTH(TODAY(),0),"Este mes","Pendiente"))))</f>
        <v/>
      </c>
      <c r="M400" s="20">
        <f>IF(OR($A400="",I400="Pagado"),"",HYPERLINK("https://wa.me/"&amp;IF(INDEX('Préstamos'!$C$2:$C$101,MATCH($A400,'Préstamos'!$A$2:$A$101,0))="","","51"&amp;SUBSTITUTE(INDEX('Préstamos'!$C$2:$C$101,MATCH($A400,'Préstamos'!$A$2:$A$101,0))," ",""))&amp;"?text="&amp;SUBSTITUTE("Hola "&amp;B400&amp;", te recuerdo que tu cuota de S/ "&amp;H400&amp;IF(E400&lt;TODAY()," vencio el "," vence el ")&amp;TEXT(E400,"dd/mm")&amp;". Gracias!"," ","%20"),"WhatsApp"))</f>
        <v/>
      </c>
    </row>
    <row r="401">
      <c r="A401" s="14" t="n"/>
      <c r="B401" s="16">
        <f>IF($A401="","",INDEX('Préstamos'!$B$2:$B$101,MATCH($A401,'Préstamos'!$A$2:$A$101,0)))</f>
        <v/>
      </c>
      <c r="C401" s="14" t="n"/>
      <c r="D401" s="14" t="n"/>
      <c r="E401" s="33" t="n"/>
      <c r="F401" s="29">
        <f>IF($A401="","",IF(D401="Solo interés",0,IF(AND(D401&lt;&gt;"Solo interés",C401=INDEX('Préstamos'!$G$2:$G$101,MATCH($A401,'Préstamos'!$A$2:$A$101,0))),INDEX('Préstamos'!$D$2:$D$101,MATCH($A401,'Préstamos'!$A$2:$A$101,0))-INDEX('Préstamos'!$J$2:$J$101,MATCH($A401,'Préstamos'!$A$2:$A$101,0))*(INDEX('Préstamos'!$G$2:$G$101,MATCH($A401,'Préstamos'!$A$2:$A$101,0))-1),INDEX('Préstamos'!$J$2:$J$101,MATCH($A401,'Préstamos'!$A$2:$A$101,0)))))</f>
        <v/>
      </c>
      <c r="G401" s="29">
        <f>IF($A401="","",IF(AND(D401&lt;&gt;"Solo interés",C401=INDEX('Préstamos'!$G$2:$G$101,MATCH($A401,'Préstamos'!$A$2:$A$101,0))),INDEX('Préstamos'!$I$2:$I$101,MATCH($A401,'Préstamos'!$A$2:$A$101,0))-INDEX('Préstamos'!$K$2:$K$101,MATCH($A401,'Préstamos'!$A$2:$A$101,0))*(INDEX('Préstamos'!$G$2:$G$101,MATCH($A401,'Préstamos'!$A$2:$A$101,0))-1),INDEX('Préstamos'!$K$2:$K$101,MATCH($A401,'Préstamos'!$A$2:$A$101,0))))</f>
        <v/>
      </c>
      <c r="H401" s="29">
        <f>IF($A401="","",F401+G401)</f>
        <v/>
      </c>
      <c r="I401" s="14" t="n"/>
      <c r="J401" s="33" t="n"/>
      <c r="K401" s="16">
        <f>IF(OR($A401="",I401="Pagado"),"",MAX(0,TODAY()-E401))</f>
        <v/>
      </c>
      <c r="L401" s="16">
        <f>IF($A401="","",IF(I401="Pagado","Pagado",IF(E401&lt;TODAY(),"Atrasado",IF(E401&lt;=EOMONTH(TODAY(),0),"Este mes","Pendiente"))))</f>
        <v/>
      </c>
      <c r="M401" s="20">
        <f>IF(OR($A401="",I401="Pagado"),"",HYPERLINK("https://wa.me/"&amp;IF(INDEX('Préstamos'!$C$2:$C$101,MATCH($A401,'Préstamos'!$A$2:$A$101,0))="","","51"&amp;SUBSTITUTE(INDEX('Préstamos'!$C$2:$C$101,MATCH($A401,'Préstamos'!$A$2:$A$101,0))," ",""))&amp;"?text="&amp;SUBSTITUTE("Hola "&amp;B401&amp;", te recuerdo que tu cuota de S/ "&amp;H401&amp;IF(E401&lt;TODAY()," vencio el "," vence el ")&amp;TEXT(E401,"dd/mm")&amp;". Gracias!"," ","%20"),"WhatsApp"))</f>
        <v/>
      </c>
    </row>
    <row r="402">
      <c r="A402" s="14" t="n"/>
      <c r="B402" s="16">
        <f>IF($A402="","",INDEX('Préstamos'!$B$2:$B$101,MATCH($A402,'Préstamos'!$A$2:$A$101,0)))</f>
        <v/>
      </c>
      <c r="C402" s="14" t="n"/>
      <c r="D402" s="14" t="n"/>
      <c r="E402" s="33" t="n"/>
      <c r="F402" s="29">
        <f>IF($A402="","",IF(D402="Solo interés",0,IF(AND(D402&lt;&gt;"Solo interés",C402=INDEX('Préstamos'!$G$2:$G$101,MATCH($A402,'Préstamos'!$A$2:$A$101,0))),INDEX('Préstamos'!$D$2:$D$101,MATCH($A402,'Préstamos'!$A$2:$A$101,0))-INDEX('Préstamos'!$J$2:$J$101,MATCH($A402,'Préstamos'!$A$2:$A$101,0))*(INDEX('Préstamos'!$G$2:$G$101,MATCH($A402,'Préstamos'!$A$2:$A$101,0))-1),INDEX('Préstamos'!$J$2:$J$101,MATCH($A402,'Préstamos'!$A$2:$A$101,0)))))</f>
        <v/>
      </c>
      <c r="G402" s="29">
        <f>IF($A402="","",IF(AND(D402&lt;&gt;"Solo interés",C402=INDEX('Préstamos'!$G$2:$G$101,MATCH($A402,'Préstamos'!$A$2:$A$101,0))),INDEX('Préstamos'!$I$2:$I$101,MATCH($A402,'Préstamos'!$A$2:$A$101,0))-INDEX('Préstamos'!$K$2:$K$101,MATCH($A402,'Préstamos'!$A$2:$A$101,0))*(INDEX('Préstamos'!$G$2:$G$101,MATCH($A402,'Préstamos'!$A$2:$A$101,0))-1),INDEX('Préstamos'!$K$2:$K$101,MATCH($A402,'Préstamos'!$A$2:$A$101,0))))</f>
        <v/>
      </c>
      <c r="H402" s="29">
        <f>IF($A402="","",F402+G402)</f>
        <v/>
      </c>
      <c r="I402" s="14" t="n"/>
      <c r="J402" s="33" t="n"/>
      <c r="K402" s="16">
        <f>IF(OR($A402="",I402="Pagado"),"",MAX(0,TODAY()-E402))</f>
        <v/>
      </c>
      <c r="L402" s="16">
        <f>IF($A402="","",IF(I402="Pagado","Pagado",IF(E402&lt;TODAY(),"Atrasado",IF(E402&lt;=EOMONTH(TODAY(),0),"Este mes","Pendiente"))))</f>
        <v/>
      </c>
      <c r="M402" s="20">
        <f>IF(OR($A402="",I402="Pagado"),"",HYPERLINK("https://wa.me/"&amp;IF(INDEX('Préstamos'!$C$2:$C$101,MATCH($A402,'Préstamos'!$A$2:$A$101,0))="","","51"&amp;SUBSTITUTE(INDEX('Préstamos'!$C$2:$C$101,MATCH($A402,'Préstamos'!$A$2:$A$101,0))," ",""))&amp;"?text="&amp;SUBSTITUTE("Hola "&amp;B402&amp;", te recuerdo que tu cuota de S/ "&amp;H402&amp;IF(E402&lt;TODAY()," vencio el "," vence el ")&amp;TEXT(E402,"dd/mm")&amp;". Gracias!"," ","%20"),"WhatsApp"))</f>
        <v/>
      </c>
    </row>
    <row r="403">
      <c r="A403" s="14" t="n"/>
      <c r="B403" s="16">
        <f>IF($A403="","",INDEX('Préstamos'!$B$2:$B$101,MATCH($A403,'Préstamos'!$A$2:$A$101,0)))</f>
        <v/>
      </c>
      <c r="C403" s="14" t="n"/>
      <c r="D403" s="14" t="n"/>
      <c r="E403" s="33" t="n"/>
      <c r="F403" s="29">
        <f>IF($A403="","",IF(D403="Solo interés",0,IF(AND(D403&lt;&gt;"Solo interés",C403=INDEX('Préstamos'!$G$2:$G$101,MATCH($A403,'Préstamos'!$A$2:$A$101,0))),INDEX('Préstamos'!$D$2:$D$101,MATCH($A403,'Préstamos'!$A$2:$A$101,0))-INDEX('Préstamos'!$J$2:$J$101,MATCH($A403,'Préstamos'!$A$2:$A$101,0))*(INDEX('Préstamos'!$G$2:$G$101,MATCH($A403,'Préstamos'!$A$2:$A$101,0))-1),INDEX('Préstamos'!$J$2:$J$101,MATCH($A403,'Préstamos'!$A$2:$A$101,0)))))</f>
        <v/>
      </c>
      <c r="G403" s="29">
        <f>IF($A403="","",IF(AND(D403&lt;&gt;"Solo interés",C403=INDEX('Préstamos'!$G$2:$G$101,MATCH($A403,'Préstamos'!$A$2:$A$101,0))),INDEX('Préstamos'!$I$2:$I$101,MATCH($A403,'Préstamos'!$A$2:$A$101,0))-INDEX('Préstamos'!$K$2:$K$101,MATCH($A403,'Préstamos'!$A$2:$A$101,0))*(INDEX('Préstamos'!$G$2:$G$101,MATCH($A403,'Préstamos'!$A$2:$A$101,0))-1),INDEX('Préstamos'!$K$2:$K$101,MATCH($A403,'Préstamos'!$A$2:$A$101,0))))</f>
        <v/>
      </c>
      <c r="H403" s="29">
        <f>IF($A403="","",F403+G403)</f>
        <v/>
      </c>
      <c r="I403" s="14" t="n"/>
      <c r="J403" s="33" t="n"/>
      <c r="K403" s="16">
        <f>IF(OR($A403="",I403="Pagado"),"",MAX(0,TODAY()-E403))</f>
        <v/>
      </c>
      <c r="L403" s="16">
        <f>IF($A403="","",IF(I403="Pagado","Pagado",IF(E403&lt;TODAY(),"Atrasado",IF(E403&lt;=EOMONTH(TODAY(),0),"Este mes","Pendiente"))))</f>
        <v/>
      </c>
      <c r="M403" s="20">
        <f>IF(OR($A403="",I403="Pagado"),"",HYPERLINK("https://wa.me/"&amp;IF(INDEX('Préstamos'!$C$2:$C$101,MATCH($A403,'Préstamos'!$A$2:$A$101,0))="","","51"&amp;SUBSTITUTE(INDEX('Préstamos'!$C$2:$C$101,MATCH($A403,'Préstamos'!$A$2:$A$101,0))," ",""))&amp;"?text="&amp;SUBSTITUTE("Hola "&amp;B403&amp;", te recuerdo que tu cuota de S/ "&amp;H403&amp;IF(E403&lt;TODAY()," vencio el "," vence el ")&amp;TEXT(E403,"dd/mm")&amp;". Gracias!"," ","%20"),"WhatsApp"))</f>
        <v/>
      </c>
    </row>
    <row r="404">
      <c r="A404" s="14" t="n"/>
      <c r="B404" s="16">
        <f>IF($A404="","",INDEX('Préstamos'!$B$2:$B$101,MATCH($A404,'Préstamos'!$A$2:$A$101,0)))</f>
        <v/>
      </c>
      <c r="C404" s="14" t="n"/>
      <c r="D404" s="14" t="n"/>
      <c r="E404" s="33" t="n"/>
      <c r="F404" s="29">
        <f>IF($A404="","",IF(D404="Solo interés",0,IF(AND(D404&lt;&gt;"Solo interés",C404=INDEX('Préstamos'!$G$2:$G$101,MATCH($A404,'Préstamos'!$A$2:$A$101,0))),INDEX('Préstamos'!$D$2:$D$101,MATCH($A404,'Préstamos'!$A$2:$A$101,0))-INDEX('Préstamos'!$J$2:$J$101,MATCH($A404,'Préstamos'!$A$2:$A$101,0))*(INDEX('Préstamos'!$G$2:$G$101,MATCH($A404,'Préstamos'!$A$2:$A$101,0))-1),INDEX('Préstamos'!$J$2:$J$101,MATCH($A404,'Préstamos'!$A$2:$A$101,0)))))</f>
        <v/>
      </c>
      <c r="G404" s="29">
        <f>IF($A404="","",IF(AND(D404&lt;&gt;"Solo interés",C404=INDEX('Préstamos'!$G$2:$G$101,MATCH($A404,'Préstamos'!$A$2:$A$101,0))),INDEX('Préstamos'!$I$2:$I$101,MATCH($A404,'Préstamos'!$A$2:$A$101,0))-INDEX('Préstamos'!$K$2:$K$101,MATCH($A404,'Préstamos'!$A$2:$A$101,0))*(INDEX('Préstamos'!$G$2:$G$101,MATCH($A404,'Préstamos'!$A$2:$A$101,0))-1),INDEX('Préstamos'!$K$2:$K$101,MATCH($A404,'Préstamos'!$A$2:$A$101,0))))</f>
        <v/>
      </c>
      <c r="H404" s="29">
        <f>IF($A404="","",F404+G404)</f>
        <v/>
      </c>
      <c r="I404" s="14" t="n"/>
      <c r="J404" s="33" t="n"/>
      <c r="K404" s="16">
        <f>IF(OR($A404="",I404="Pagado"),"",MAX(0,TODAY()-E404))</f>
        <v/>
      </c>
      <c r="L404" s="16">
        <f>IF($A404="","",IF(I404="Pagado","Pagado",IF(E404&lt;TODAY(),"Atrasado",IF(E404&lt;=EOMONTH(TODAY(),0),"Este mes","Pendiente"))))</f>
        <v/>
      </c>
      <c r="M404" s="20">
        <f>IF(OR($A404="",I404="Pagado"),"",HYPERLINK("https://wa.me/"&amp;IF(INDEX('Préstamos'!$C$2:$C$101,MATCH($A404,'Préstamos'!$A$2:$A$101,0))="","","51"&amp;SUBSTITUTE(INDEX('Préstamos'!$C$2:$C$101,MATCH($A404,'Préstamos'!$A$2:$A$101,0))," ",""))&amp;"?text="&amp;SUBSTITUTE("Hola "&amp;B404&amp;", te recuerdo que tu cuota de S/ "&amp;H404&amp;IF(E404&lt;TODAY()," vencio el "," vence el ")&amp;TEXT(E404,"dd/mm")&amp;". Gracias!"," ","%20"),"WhatsApp"))</f>
        <v/>
      </c>
    </row>
    <row r="405">
      <c r="A405" s="14" t="n"/>
      <c r="B405" s="16">
        <f>IF($A405="","",INDEX('Préstamos'!$B$2:$B$101,MATCH($A405,'Préstamos'!$A$2:$A$101,0)))</f>
        <v/>
      </c>
      <c r="C405" s="14" t="n"/>
      <c r="D405" s="14" t="n"/>
      <c r="E405" s="33" t="n"/>
      <c r="F405" s="29">
        <f>IF($A405="","",IF(D405="Solo interés",0,IF(AND(D405&lt;&gt;"Solo interés",C405=INDEX('Préstamos'!$G$2:$G$101,MATCH($A405,'Préstamos'!$A$2:$A$101,0))),INDEX('Préstamos'!$D$2:$D$101,MATCH($A405,'Préstamos'!$A$2:$A$101,0))-INDEX('Préstamos'!$J$2:$J$101,MATCH($A405,'Préstamos'!$A$2:$A$101,0))*(INDEX('Préstamos'!$G$2:$G$101,MATCH($A405,'Préstamos'!$A$2:$A$101,0))-1),INDEX('Préstamos'!$J$2:$J$101,MATCH($A405,'Préstamos'!$A$2:$A$101,0)))))</f>
        <v/>
      </c>
      <c r="G405" s="29">
        <f>IF($A405="","",IF(AND(D405&lt;&gt;"Solo interés",C405=INDEX('Préstamos'!$G$2:$G$101,MATCH($A405,'Préstamos'!$A$2:$A$101,0))),INDEX('Préstamos'!$I$2:$I$101,MATCH($A405,'Préstamos'!$A$2:$A$101,0))-INDEX('Préstamos'!$K$2:$K$101,MATCH($A405,'Préstamos'!$A$2:$A$101,0))*(INDEX('Préstamos'!$G$2:$G$101,MATCH($A405,'Préstamos'!$A$2:$A$101,0))-1),INDEX('Préstamos'!$K$2:$K$101,MATCH($A405,'Préstamos'!$A$2:$A$101,0))))</f>
        <v/>
      </c>
      <c r="H405" s="29">
        <f>IF($A405="","",F405+G405)</f>
        <v/>
      </c>
      <c r="I405" s="14" t="n"/>
      <c r="J405" s="33" t="n"/>
      <c r="K405" s="16">
        <f>IF(OR($A405="",I405="Pagado"),"",MAX(0,TODAY()-E405))</f>
        <v/>
      </c>
      <c r="L405" s="16">
        <f>IF($A405="","",IF(I405="Pagado","Pagado",IF(E405&lt;TODAY(),"Atrasado",IF(E405&lt;=EOMONTH(TODAY(),0),"Este mes","Pendiente"))))</f>
        <v/>
      </c>
      <c r="M405" s="20">
        <f>IF(OR($A405="",I405="Pagado"),"",HYPERLINK("https://wa.me/"&amp;IF(INDEX('Préstamos'!$C$2:$C$101,MATCH($A405,'Préstamos'!$A$2:$A$101,0))="","","51"&amp;SUBSTITUTE(INDEX('Préstamos'!$C$2:$C$101,MATCH($A405,'Préstamos'!$A$2:$A$101,0))," ",""))&amp;"?text="&amp;SUBSTITUTE("Hola "&amp;B405&amp;", te recuerdo que tu cuota de S/ "&amp;H405&amp;IF(E405&lt;TODAY()," vencio el "," vence el ")&amp;TEXT(E405,"dd/mm")&amp;". Gracias!"," ","%20"),"WhatsApp"))</f>
        <v/>
      </c>
    </row>
    <row r="406">
      <c r="A406" s="14" t="n"/>
      <c r="B406" s="16">
        <f>IF($A406="","",INDEX('Préstamos'!$B$2:$B$101,MATCH($A406,'Préstamos'!$A$2:$A$101,0)))</f>
        <v/>
      </c>
      <c r="C406" s="14" t="n"/>
      <c r="D406" s="14" t="n"/>
      <c r="E406" s="33" t="n"/>
      <c r="F406" s="29">
        <f>IF($A406="","",IF(D406="Solo interés",0,IF(AND(D406&lt;&gt;"Solo interés",C406=INDEX('Préstamos'!$G$2:$G$101,MATCH($A406,'Préstamos'!$A$2:$A$101,0))),INDEX('Préstamos'!$D$2:$D$101,MATCH($A406,'Préstamos'!$A$2:$A$101,0))-INDEX('Préstamos'!$J$2:$J$101,MATCH($A406,'Préstamos'!$A$2:$A$101,0))*(INDEX('Préstamos'!$G$2:$G$101,MATCH($A406,'Préstamos'!$A$2:$A$101,0))-1),INDEX('Préstamos'!$J$2:$J$101,MATCH($A406,'Préstamos'!$A$2:$A$101,0)))))</f>
        <v/>
      </c>
      <c r="G406" s="29">
        <f>IF($A406="","",IF(AND(D406&lt;&gt;"Solo interés",C406=INDEX('Préstamos'!$G$2:$G$101,MATCH($A406,'Préstamos'!$A$2:$A$101,0))),INDEX('Préstamos'!$I$2:$I$101,MATCH($A406,'Préstamos'!$A$2:$A$101,0))-INDEX('Préstamos'!$K$2:$K$101,MATCH($A406,'Préstamos'!$A$2:$A$101,0))*(INDEX('Préstamos'!$G$2:$G$101,MATCH($A406,'Préstamos'!$A$2:$A$101,0))-1),INDEX('Préstamos'!$K$2:$K$101,MATCH($A406,'Préstamos'!$A$2:$A$101,0))))</f>
        <v/>
      </c>
      <c r="H406" s="29">
        <f>IF($A406="","",F406+G406)</f>
        <v/>
      </c>
      <c r="I406" s="14" t="n"/>
      <c r="J406" s="33" t="n"/>
      <c r="K406" s="16">
        <f>IF(OR($A406="",I406="Pagado"),"",MAX(0,TODAY()-E406))</f>
        <v/>
      </c>
      <c r="L406" s="16">
        <f>IF($A406="","",IF(I406="Pagado","Pagado",IF(E406&lt;TODAY(),"Atrasado",IF(E406&lt;=EOMONTH(TODAY(),0),"Este mes","Pendiente"))))</f>
        <v/>
      </c>
      <c r="M406" s="20">
        <f>IF(OR($A406="",I406="Pagado"),"",HYPERLINK("https://wa.me/"&amp;IF(INDEX('Préstamos'!$C$2:$C$101,MATCH($A406,'Préstamos'!$A$2:$A$101,0))="","","51"&amp;SUBSTITUTE(INDEX('Préstamos'!$C$2:$C$101,MATCH($A406,'Préstamos'!$A$2:$A$101,0))," ",""))&amp;"?text="&amp;SUBSTITUTE("Hola "&amp;B406&amp;", te recuerdo que tu cuota de S/ "&amp;H406&amp;IF(E406&lt;TODAY()," vencio el "," vence el ")&amp;TEXT(E406,"dd/mm")&amp;". Gracias!"," ","%20"),"WhatsApp"))</f>
        <v/>
      </c>
    </row>
    <row r="407">
      <c r="A407" s="14" t="n"/>
      <c r="B407" s="16">
        <f>IF($A407="","",INDEX('Préstamos'!$B$2:$B$101,MATCH($A407,'Préstamos'!$A$2:$A$101,0)))</f>
        <v/>
      </c>
      <c r="C407" s="14" t="n"/>
      <c r="D407" s="14" t="n"/>
      <c r="E407" s="33" t="n"/>
      <c r="F407" s="29">
        <f>IF($A407="","",IF(D407="Solo interés",0,IF(AND(D407&lt;&gt;"Solo interés",C407=INDEX('Préstamos'!$G$2:$G$101,MATCH($A407,'Préstamos'!$A$2:$A$101,0))),INDEX('Préstamos'!$D$2:$D$101,MATCH($A407,'Préstamos'!$A$2:$A$101,0))-INDEX('Préstamos'!$J$2:$J$101,MATCH($A407,'Préstamos'!$A$2:$A$101,0))*(INDEX('Préstamos'!$G$2:$G$101,MATCH($A407,'Préstamos'!$A$2:$A$101,0))-1),INDEX('Préstamos'!$J$2:$J$101,MATCH($A407,'Préstamos'!$A$2:$A$101,0)))))</f>
        <v/>
      </c>
      <c r="G407" s="29">
        <f>IF($A407="","",IF(AND(D407&lt;&gt;"Solo interés",C407=INDEX('Préstamos'!$G$2:$G$101,MATCH($A407,'Préstamos'!$A$2:$A$101,0))),INDEX('Préstamos'!$I$2:$I$101,MATCH($A407,'Préstamos'!$A$2:$A$101,0))-INDEX('Préstamos'!$K$2:$K$101,MATCH($A407,'Préstamos'!$A$2:$A$101,0))*(INDEX('Préstamos'!$G$2:$G$101,MATCH($A407,'Préstamos'!$A$2:$A$101,0))-1),INDEX('Préstamos'!$K$2:$K$101,MATCH($A407,'Préstamos'!$A$2:$A$101,0))))</f>
        <v/>
      </c>
      <c r="H407" s="29">
        <f>IF($A407="","",F407+G407)</f>
        <v/>
      </c>
      <c r="I407" s="14" t="n"/>
      <c r="J407" s="33" t="n"/>
      <c r="K407" s="16">
        <f>IF(OR($A407="",I407="Pagado"),"",MAX(0,TODAY()-E407))</f>
        <v/>
      </c>
      <c r="L407" s="16">
        <f>IF($A407="","",IF(I407="Pagado","Pagado",IF(E407&lt;TODAY(),"Atrasado",IF(E407&lt;=EOMONTH(TODAY(),0),"Este mes","Pendiente"))))</f>
        <v/>
      </c>
      <c r="M407" s="20">
        <f>IF(OR($A407="",I407="Pagado"),"",HYPERLINK("https://wa.me/"&amp;IF(INDEX('Préstamos'!$C$2:$C$101,MATCH($A407,'Préstamos'!$A$2:$A$101,0))="","","51"&amp;SUBSTITUTE(INDEX('Préstamos'!$C$2:$C$101,MATCH($A407,'Préstamos'!$A$2:$A$101,0))," ",""))&amp;"?text="&amp;SUBSTITUTE("Hola "&amp;B407&amp;", te recuerdo que tu cuota de S/ "&amp;H407&amp;IF(E407&lt;TODAY()," vencio el "," vence el ")&amp;TEXT(E407,"dd/mm")&amp;". Gracias!"," ","%20"),"WhatsApp"))</f>
        <v/>
      </c>
    </row>
    <row r="408">
      <c r="A408" s="14" t="n"/>
      <c r="B408" s="16">
        <f>IF($A408="","",INDEX('Préstamos'!$B$2:$B$101,MATCH($A408,'Préstamos'!$A$2:$A$101,0)))</f>
        <v/>
      </c>
      <c r="C408" s="14" t="n"/>
      <c r="D408" s="14" t="n"/>
      <c r="E408" s="33" t="n"/>
      <c r="F408" s="29">
        <f>IF($A408="","",IF(D408="Solo interés",0,IF(AND(D408&lt;&gt;"Solo interés",C408=INDEX('Préstamos'!$G$2:$G$101,MATCH($A408,'Préstamos'!$A$2:$A$101,0))),INDEX('Préstamos'!$D$2:$D$101,MATCH($A408,'Préstamos'!$A$2:$A$101,0))-INDEX('Préstamos'!$J$2:$J$101,MATCH($A408,'Préstamos'!$A$2:$A$101,0))*(INDEX('Préstamos'!$G$2:$G$101,MATCH($A408,'Préstamos'!$A$2:$A$101,0))-1),INDEX('Préstamos'!$J$2:$J$101,MATCH($A408,'Préstamos'!$A$2:$A$101,0)))))</f>
        <v/>
      </c>
      <c r="G408" s="29">
        <f>IF($A408="","",IF(AND(D408&lt;&gt;"Solo interés",C408=INDEX('Préstamos'!$G$2:$G$101,MATCH($A408,'Préstamos'!$A$2:$A$101,0))),INDEX('Préstamos'!$I$2:$I$101,MATCH($A408,'Préstamos'!$A$2:$A$101,0))-INDEX('Préstamos'!$K$2:$K$101,MATCH($A408,'Préstamos'!$A$2:$A$101,0))*(INDEX('Préstamos'!$G$2:$G$101,MATCH($A408,'Préstamos'!$A$2:$A$101,0))-1),INDEX('Préstamos'!$K$2:$K$101,MATCH($A408,'Préstamos'!$A$2:$A$101,0))))</f>
        <v/>
      </c>
      <c r="H408" s="29">
        <f>IF($A408="","",F408+G408)</f>
        <v/>
      </c>
      <c r="I408" s="14" t="n"/>
      <c r="J408" s="33" t="n"/>
      <c r="K408" s="16">
        <f>IF(OR($A408="",I408="Pagado"),"",MAX(0,TODAY()-E408))</f>
        <v/>
      </c>
      <c r="L408" s="16">
        <f>IF($A408="","",IF(I408="Pagado","Pagado",IF(E408&lt;TODAY(),"Atrasado",IF(E408&lt;=EOMONTH(TODAY(),0),"Este mes","Pendiente"))))</f>
        <v/>
      </c>
      <c r="M408" s="20">
        <f>IF(OR($A408="",I408="Pagado"),"",HYPERLINK("https://wa.me/"&amp;IF(INDEX('Préstamos'!$C$2:$C$101,MATCH($A408,'Préstamos'!$A$2:$A$101,0))="","","51"&amp;SUBSTITUTE(INDEX('Préstamos'!$C$2:$C$101,MATCH($A408,'Préstamos'!$A$2:$A$101,0))," ",""))&amp;"?text="&amp;SUBSTITUTE("Hola "&amp;B408&amp;", te recuerdo que tu cuota de S/ "&amp;H408&amp;IF(E408&lt;TODAY()," vencio el "," vence el ")&amp;TEXT(E408,"dd/mm")&amp;". Gracias!"," ","%20"),"WhatsApp"))</f>
        <v/>
      </c>
    </row>
    <row r="409">
      <c r="A409" s="14" t="n"/>
      <c r="B409" s="16">
        <f>IF($A409="","",INDEX('Préstamos'!$B$2:$B$101,MATCH($A409,'Préstamos'!$A$2:$A$101,0)))</f>
        <v/>
      </c>
      <c r="C409" s="14" t="n"/>
      <c r="D409" s="14" t="n"/>
      <c r="E409" s="33" t="n"/>
      <c r="F409" s="29">
        <f>IF($A409="","",IF(D409="Solo interés",0,IF(AND(D409&lt;&gt;"Solo interés",C409=INDEX('Préstamos'!$G$2:$G$101,MATCH($A409,'Préstamos'!$A$2:$A$101,0))),INDEX('Préstamos'!$D$2:$D$101,MATCH($A409,'Préstamos'!$A$2:$A$101,0))-INDEX('Préstamos'!$J$2:$J$101,MATCH($A409,'Préstamos'!$A$2:$A$101,0))*(INDEX('Préstamos'!$G$2:$G$101,MATCH($A409,'Préstamos'!$A$2:$A$101,0))-1),INDEX('Préstamos'!$J$2:$J$101,MATCH($A409,'Préstamos'!$A$2:$A$101,0)))))</f>
        <v/>
      </c>
      <c r="G409" s="29">
        <f>IF($A409="","",IF(AND(D409&lt;&gt;"Solo interés",C409=INDEX('Préstamos'!$G$2:$G$101,MATCH($A409,'Préstamos'!$A$2:$A$101,0))),INDEX('Préstamos'!$I$2:$I$101,MATCH($A409,'Préstamos'!$A$2:$A$101,0))-INDEX('Préstamos'!$K$2:$K$101,MATCH($A409,'Préstamos'!$A$2:$A$101,0))*(INDEX('Préstamos'!$G$2:$G$101,MATCH($A409,'Préstamos'!$A$2:$A$101,0))-1),INDEX('Préstamos'!$K$2:$K$101,MATCH($A409,'Préstamos'!$A$2:$A$101,0))))</f>
        <v/>
      </c>
      <c r="H409" s="29">
        <f>IF($A409="","",F409+G409)</f>
        <v/>
      </c>
      <c r="I409" s="14" t="n"/>
      <c r="J409" s="33" t="n"/>
      <c r="K409" s="16">
        <f>IF(OR($A409="",I409="Pagado"),"",MAX(0,TODAY()-E409))</f>
        <v/>
      </c>
      <c r="L409" s="16">
        <f>IF($A409="","",IF(I409="Pagado","Pagado",IF(E409&lt;TODAY(),"Atrasado",IF(E409&lt;=EOMONTH(TODAY(),0),"Este mes","Pendiente"))))</f>
        <v/>
      </c>
      <c r="M409" s="20">
        <f>IF(OR($A409="",I409="Pagado"),"",HYPERLINK("https://wa.me/"&amp;IF(INDEX('Préstamos'!$C$2:$C$101,MATCH($A409,'Préstamos'!$A$2:$A$101,0))="","","51"&amp;SUBSTITUTE(INDEX('Préstamos'!$C$2:$C$101,MATCH($A409,'Préstamos'!$A$2:$A$101,0))," ",""))&amp;"?text="&amp;SUBSTITUTE("Hola "&amp;B409&amp;", te recuerdo que tu cuota de S/ "&amp;H409&amp;IF(E409&lt;TODAY()," vencio el "," vence el ")&amp;TEXT(E409,"dd/mm")&amp;". Gracias!"," ","%20"),"WhatsApp"))</f>
        <v/>
      </c>
    </row>
    <row r="410">
      <c r="A410" s="14" t="n"/>
      <c r="B410" s="16">
        <f>IF($A410="","",INDEX('Préstamos'!$B$2:$B$101,MATCH($A410,'Préstamos'!$A$2:$A$101,0)))</f>
        <v/>
      </c>
      <c r="C410" s="14" t="n"/>
      <c r="D410" s="14" t="n"/>
      <c r="E410" s="33" t="n"/>
      <c r="F410" s="29">
        <f>IF($A410="","",IF(D410="Solo interés",0,IF(AND(D410&lt;&gt;"Solo interés",C410=INDEX('Préstamos'!$G$2:$G$101,MATCH($A410,'Préstamos'!$A$2:$A$101,0))),INDEX('Préstamos'!$D$2:$D$101,MATCH($A410,'Préstamos'!$A$2:$A$101,0))-INDEX('Préstamos'!$J$2:$J$101,MATCH($A410,'Préstamos'!$A$2:$A$101,0))*(INDEX('Préstamos'!$G$2:$G$101,MATCH($A410,'Préstamos'!$A$2:$A$101,0))-1),INDEX('Préstamos'!$J$2:$J$101,MATCH($A410,'Préstamos'!$A$2:$A$101,0)))))</f>
        <v/>
      </c>
      <c r="G410" s="29">
        <f>IF($A410="","",IF(AND(D410&lt;&gt;"Solo interés",C410=INDEX('Préstamos'!$G$2:$G$101,MATCH($A410,'Préstamos'!$A$2:$A$101,0))),INDEX('Préstamos'!$I$2:$I$101,MATCH($A410,'Préstamos'!$A$2:$A$101,0))-INDEX('Préstamos'!$K$2:$K$101,MATCH($A410,'Préstamos'!$A$2:$A$101,0))*(INDEX('Préstamos'!$G$2:$G$101,MATCH($A410,'Préstamos'!$A$2:$A$101,0))-1),INDEX('Préstamos'!$K$2:$K$101,MATCH($A410,'Préstamos'!$A$2:$A$101,0))))</f>
        <v/>
      </c>
      <c r="H410" s="29">
        <f>IF($A410="","",F410+G410)</f>
        <v/>
      </c>
      <c r="I410" s="14" t="n"/>
      <c r="J410" s="33" t="n"/>
      <c r="K410" s="16">
        <f>IF(OR($A410="",I410="Pagado"),"",MAX(0,TODAY()-E410))</f>
        <v/>
      </c>
      <c r="L410" s="16">
        <f>IF($A410="","",IF(I410="Pagado","Pagado",IF(E410&lt;TODAY(),"Atrasado",IF(E410&lt;=EOMONTH(TODAY(),0),"Este mes","Pendiente"))))</f>
        <v/>
      </c>
      <c r="M410" s="20">
        <f>IF(OR($A410="",I410="Pagado"),"",HYPERLINK("https://wa.me/"&amp;IF(INDEX('Préstamos'!$C$2:$C$101,MATCH($A410,'Préstamos'!$A$2:$A$101,0))="","","51"&amp;SUBSTITUTE(INDEX('Préstamos'!$C$2:$C$101,MATCH($A410,'Préstamos'!$A$2:$A$101,0))," ",""))&amp;"?text="&amp;SUBSTITUTE("Hola "&amp;B410&amp;", te recuerdo que tu cuota de S/ "&amp;H410&amp;IF(E410&lt;TODAY()," vencio el "," vence el ")&amp;TEXT(E410,"dd/mm")&amp;". Gracias!"," ","%20"),"WhatsApp"))</f>
        <v/>
      </c>
    </row>
    <row r="411">
      <c r="A411" s="14" t="n"/>
      <c r="B411" s="16">
        <f>IF($A411="","",INDEX('Préstamos'!$B$2:$B$101,MATCH($A411,'Préstamos'!$A$2:$A$101,0)))</f>
        <v/>
      </c>
      <c r="C411" s="14" t="n"/>
      <c r="D411" s="14" t="n"/>
      <c r="E411" s="33" t="n"/>
      <c r="F411" s="29">
        <f>IF($A411="","",IF(D411="Solo interés",0,IF(AND(D411&lt;&gt;"Solo interés",C411=INDEX('Préstamos'!$G$2:$G$101,MATCH($A411,'Préstamos'!$A$2:$A$101,0))),INDEX('Préstamos'!$D$2:$D$101,MATCH($A411,'Préstamos'!$A$2:$A$101,0))-INDEX('Préstamos'!$J$2:$J$101,MATCH($A411,'Préstamos'!$A$2:$A$101,0))*(INDEX('Préstamos'!$G$2:$G$101,MATCH($A411,'Préstamos'!$A$2:$A$101,0))-1),INDEX('Préstamos'!$J$2:$J$101,MATCH($A411,'Préstamos'!$A$2:$A$101,0)))))</f>
        <v/>
      </c>
      <c r="G411" s="29">
        <f>IF($A411="","",IF(AND(D411&lt;&gt;"Solo interés",C411=INDEX('Préstamos'!$G$2:$G$101,MATCH($A411,'Préstamos'!$A$2:$A$101,0))),INDEX('Préstamos'!$I$2:$I$101,MATCH($A411,'Préstamos'!$A$2:$A$101,0))-INDEX('Préstamos'!$K$2:$K$101,MATCH($A411,'Préstamos'!$A$2:$A$101,0))*(INDEX('Préstamos'!$G$2:$G$101,MATCH($A411,'Préstamos'!$A$2:$A$101,0))-1),INDEX('Préstamos'!$K$2:$K$101,MATCH($A411,'Préstamos'!$A$2:$A$101,0))))</f>
        <v/>
      </c>
      <c r="H411" s="29">
        <f>IF($A411="","",F411+G411)</f>
        <v/>
      </c>
      <c r="I411" s="14" t="n"/>
      <c r="J411" s="33" t="n"/>
      <c r="K411" s="16">
        <f>IF(OR($A411="",I411="Pagado"),"",MAX(0,TODAY()-E411))</f>
        <v/>
      </c>
      <c r="L411" s="16">
        <f>IF($A411="","",IF(I411="Pagado","Pagado",IF(E411&lt;TODAY(),"Atrasado",IF(E411&lt;=EOMONTH(TODAY(),0),"Este mes","Pendiente"))))</f>
        <v/>
      </c>
      <c r="M411" s="20">
        <f>IF(OR($A411="",I411="Pagado"),"",HYPERLINK("https://wa.me/"&amp;IF(INDEX('Préstamos'!$C$2:$C$101,MATCH($A411,'Préstamos'!$A$2:$A$101,0))="","","51"&amp;SUBSTITUTE(INDEX('Préstamos'!$C$2:$C$101,MATCH($A411,'Préstamos'!$A$2:$A$101,0))," ",""))&amp;"?text="&amp;SUBSTITUTE("Hola "&amp;B411&amp;", te recuerdo que tu cuota de S/ "&amp;H411&amp;IF(E411&lt;TODAY()," vencio el "," vence el ")&amp;TEXT(E411,"dd/mm")&amp;". Gracias!"," ","%20"),"WhatsApp"))</f>
        <v/>
      </c>
    </row>
    <row r="412">
      <c r="A412" s="14" t="n"/>
      <c r="B412" s="16">
        <f>IF($A412="","",INDEX('Préstamos'!$B$2:$B$101,MATCH($A412,'Préstamos'!$A$2:$A$101,0)))</f>
        <v/>
      </c>
      <c r="C412" s="14" t="n"/>
      <c r="D412" s="14" t="n"/>
      <c r="E412" s="33" t="n"/>
      <c r="F412" s="29">
        <f>IF($A412="","",IF(D412="Solo interés",0,IF(AND(D412&lt;&gt;"Solo interés",C412=INDEX('Préstamos'!$G$2:$G$101,MATCH($A412,'Préstamos'!$A$2:$A$101,0))),INDEX('Préstamos'!$D$2:$D$101,MATCH($A412,'Préstamos'!$A$2:$A$101,0))-INDEX('Préstamos'!$J$2:$J$101,MATCH($A412,'Préstamos'!$A$2:$A$101,0))*(INDEX('Préstamos'!$G$2:$G$101,MATCH($A412,'Préstamos'!$A$2:$A$101,0))-1),INDEX('Préstamos'!$J$2:$J$101,MATCH($A412,'Préstamos'!$A$2:$A$101,0)))))</f>
        <v/>
      </c>
      <c r="G412" s="29">
        <f>IF($A412="","",IF(AND(D412&lt;&gt;"Solo interés",C412=INDEX('Préstamos'!$G$2:$G$101,MATCH($A412,'Préstamos'!$A$2:$A$101,0))),INDEX('Préstamos'!$I$2:$I$101,MATCH($A412,'Préstamos'!$A$2:$A$101,0))-INDEX('Préstamos'!$K$2:$K$101,MATCH($A412,'Préstamos'!$A$2:$A$101,0))*(INDEX('Préstamos'!$G$2:$G$101,MATCH($A412,'Préstamos'!$A$2:$A$101,0))-1),INDEX('Préstamos'!$K$2:$K$101,MATCH($A412,'Préstamos'!$A$2:$A$101,0))))</f>
        <v/>
      </c>
      <c r="H412" s="29">
        <f>IF($A412="","",F412+G412)</f>
        <v/>
      </c>
      <c r="I412" s="14" t="n"/>
      <c r="J412" s="33" t="n"/>
      <c r="K412" s="16">
        <f>IF(OR($A412="",I412="Pagado"),"",MAX(0,TODAY()-E412))</f>
        <v/>
      </c>
      <c r="L412" s="16">
        <f>IF($A412="","",IF(I412="Pagado","Pagado",IF(E412&lt;TODAY(),"Atrasado",IF(E412&lt;=EOMONTH(TODAY(),0),"Este mes","Pendiente"))))</f>
        <v/>
      </c>
      <c r="M412" s="20">
        <f>IF(OR($A412="",I412="Pagado"),"",HYPERLINK("https://wa.me/"&amp;IF(INDEX('Préstamos'!$C$2:$C$101,MATCH($A412,'Préstamos'!$A$2:$A$101,0))="","","51"&amp;SUBSTITUTE(INDEX('Préstamos'!$C$2:$C$101,MATCH($A412,'Préstamos'!$A$2:$A$101,0))," ",""))&amp;"?text="&amp;SUBSTITUTE("Hola "&amp;B412&amp;", te recuerdo que tu cuota de S/ "&amp;H412&amp;IF(E412&lt;TODAY()," vencio el "," vence el ")&amp;TEXT(E412,"dd/mm")&amp;". Gracias!"," ","%20"),"WhatsApp"))</f>
        <v/>
      </c>
    </row>
    <row r="413">
      <c r="A413" s="14" t="n"/>
      <c r="B413" s="16">
        <f>IF($A413="","",INDEX('Préstamos'!$B$2:$B$101,MATCH($A413,'Préstamos'!$A$2:$A$101,0)))</f>
        <v/>
      </c>
      <c r="C413" s="14" t="n"/>
      <c r="D413" s="14" t="n"/>
      <c r="E413" s="33" t="n"/>
      <c r="F413" s="29">
        <f>IF($A413="","",IF(D413="Solo interés",0,IF(AND(D413&lt;&gt;"Solo interés",C413=INDEX('Préstamos'!$G$2:$G$101,MATCH($A413,'Préstamos'!$A$2:$A$101,0))),INDEX('Préstamos'!$D$2:$D$101,MATCH($A413,'Préstamos'!$A$2:$A$101,0))-INDEX('Préstamos'!$J$2:$J$101,MATCH($A413,'Préstamos'!$A$2:$A$101,0))*(INDEX('Préstamos'!$G$2:$G$101,MATCH($A413,'Préstamos'!$A$2:$A$101,0))-1),INDEX('Préstamos'!$J$2:$J$101,MATCH($A413,'Préstamos'!$A$2:$A$101,0)))))</f>
        <v/>
      </c>
      <c r="G413" s="29">
        <f>IF($A413="","",IF(AND(D413&lt;&gt;"Solo interés",C413=INDEX('Préstamos'!$G$2:$G$101,MATCH($A413,'Préstamos'!$A$2:$A$101,0))),INDEX('Préstamos'!$I$2:$I$101,MATCH($A413,'Préstamos'!$A$2:$A$101,0))-INDEX('Préstamos'!$K$2:$K$101,MATCH($A413,'Préstamos'!$A$2:$A$101,0))*(INDEX('Préstamos'!$G$2:$G$101,MATCH($A413,'Préstamos'!$A$2:$A$101,0))-1),INDEX('Préstamos'!$K$2:$K$101,MATCH($A413,'Préstamos'!$A$2:$A$101,0))))</f>
        <v/>
      </c>
      <c r="H413" s="29">
        <f>IF($A413="","",F413+G413)</f>
        <v/>
      </c>
      <c r="I413" s="14" t="n"/>
      <c r="J413" s="33" t="n"/>
      <c r="K413" s="16">
        <f>IF(OR($A413="",I413="Pagado"),"",MAX(0,TODAY()-E413))</f>
        <v/>
      </c>
      <c r="L413" s="16">
        <f>IF($A413="","",IF(I413="Pagado","Pagado",IF(E413&lt;TODAY(),"Atrasado",IF(E413&lt;=EOMONTH(TODAY(),0),"Este mes","Pendiente"))))</f>
        <v/>
      </c>
      <c r="M413" s="20">
        <f>IF(OR($A413="",I413="Pagado"),"",HYPERLINK("https://wa.me/"&amp;IF(INDEX('Préstamos'!$C$2:$C$101,MATCH($A413,'Préstamos'!$A$2:$A$101,0))="","","51"&amp;SUBSTITUTE(INDEX('Préstamos'!$C$2:$C$101,MATCH($A413,'Préstamos'!$A$2:$A$101,0))," ",""))&amp;"?text="&amp;SUBSTITUTE("Hola "&amp;B413&amp;", te recuerdo que tu cuota de S/ "&amp;H413&amp;IF(E413&lt;TODAY()," vencio el "," vence el ")&amp;TEXT(E413,"dd/mm")&amp;". Gracias!"," ","%20"),"WhatsApp"))</f>
        <v/>
      </c>
    </row>
    <row r="414">
      <c r="A414" s="14" t="n"/>
      <c r="B414" s="16">
        <f>IF($A414="","",INDEX('Préstamos'!$B$2:$B$101,MATCH($A414,'Préstamos'!$A$2:$A$101,0)))</f>
        <v/>
      </c>
      <c r="C414" s="14" t="n"/>
      <c r="D414" s="14" t="n"/>
      <c r="E414" s="33" t="n"/>
      <c r="F414" s="29">
        <f>IF($A414="","",IF(D414="Solo interés",0,IF(AND(D414&lt;&gt;"Solo interés",C414=INDEX('Préstamos'!$G$2:$G$101,MATCH($A414,'Préstamos'!$A$2:$A$101,0))),INDEX('Préstamos'!$D$2:$D$101,MATCH($A414,'Préstamos'!$A$2:$A$101,0))-INDEX('Préstamos'!$J$2:$J$101,MATCH($A414,'Préstamos'!$A$2:$A$101,0))*(INDEX('Préstamos'!$G$2:$G$101,MATCH($A414,'Préstamos'!$A$2:$A$101,0))-1),INDEX('Préstamos'!$J$2:$J$101,MATCH($A414,'Préstamos'!$A$2:$A$101,0)))))</f>
        <v/>
      </c>
      <c r="G414" s="29">
        <f>IF($A414="","",IF(AND(D414&lt;&gt;"Solo interés",C414=INDEX('Préstamos'!$G$2:$G$101,MATCH($A414,'Préstamos'!$A$2:$A$101,0))),INDEX('Préstamos'!$I$2:$I$101,MATCH($A414,'Préstamos'!$A$2:$A$101,0))-INDEX('Préstamos'!$K$2:$K$101,MATCH($A414,'Préstamos'!$A$2:$A$101,0))*(INDEX('Préstamos'!$G$2:$G$101,MATCH($A414,'Préstamos'!$A$2:$A$101,0))-1),INDEX('Préstamos'!$K$2:$K$101,MATCH($A414,'Préstamos'!$A$2:$A$101,0))))</f>
        <v/>
      </c>
      <c r="H414" s="29">
        <f>IF($A414="","",F414+G414)</f>
        <v/>
      </c>
      <c r="I414" s="14" t="n"/>
      <c r="J414" s="33" t="n"/>
      <c r="K414" s="16">
        <f>IF(OR($A414="",I414="Pagado"),"",MAX(0,TODAY()-E414))</f>
        <v/>
      </c>
      <c r="L414" s="16">
        <f>IF($A414="","",IF(I414="Pagado","Pagado",IF(E414&lt;TODAY(),"Atrasado",IF(E414&lt;=EOMONTH(TODAY(),0),"Este mes","Pendiente"))))</f>
        <v/>
      </c>
      <c r="M414" s="20">
        <f>IF(OR($A414="",I414="Pagado"),"",HYPERLINK("https://wa.me/"&amp;IF(INDEX('Préstamos'!$C$2:$C$101,MATCH($A414,'Préstamos'!$A$2:$A$101,0))="","","51"&amp;SUBSTITUTE(INDEX('Préstamos'!$C$2:$C$101,MATCH($A414,'Préstamos'!$A$2:$A$101,0))," ",""))&amp;"?text="&amp;SUBSTITUTE("Hola "&amp;B414&amp;", te recuerdo que tu cuota de S/ "&amp;H414&amp;IF(E414&lt;TODAY()," vencio el "," vence el ")&amp;TEXT(E414,"dd/mm")&amp;". Gracias!"," ","%20"),"WhatsApp"))</f>
        <v/>
      </c>
    </row>
    <row r="415">
      <c r="A415" s="14" t="n"/>
      <c r="B415" s="16">
        <f>IF($A415="","",INDEX('Préstamos'!$B$2:$B$101,MATCH($A415,'Préstamos'!$A$2:$A$101,0)))</f>
        <v/>
      </c>
      <c r="C415" s="14" t="n"/>
      <c r="D415" s="14" t="n"/>
      <c r="E415" s="33" t="n"/>
      <c r="F415" s="29">
        <f>IF($A415="","",IF(D415="Solo interés",0,IF(AND(D415&lt;&gt;"Solo interés",C415=INDEX('Préstamos'!$G$2:$G$101,MATCH($A415,'Préstamos'!$A$2:$A$101,0))),INDEX('Préstamos'!$D$2:$D$101,MATCH($A415,'Préstamos'!$A$2:$A$101,0))-INDEX('Préstamos'!$J$2:$J$101,MATCH($A415,'Préstamos'!$A$2:$A$101,0))*(INDEX('Préstamos'!$G$2:$G$101,MATCH($A415,'Préstamos'!$A$2:$A$101,0))-1),INDEX('Préstamos'!$J$2:$J$101,MATCH($A415,'Préstamos'!$A$2:$A$101,0)))))</f>
        <v/>
      </c>
      <c r="G415" s="29">
        <f>IF($A415="","",IF(AND(D415&lt;&gt;"Solo interés",C415=INDEX('Préstamos'!$G$2:$G$101,MATCH($A415,'Préstamos'!$A$2:$A$101,0))),INDEX('Préstamos'!$I$2:$I$101,MATCH($A415,'Préstamos'!$A$2:$A$101,0))-INDEX('Préstamos'!$K$2:$K$101,MATCH($A415,'Préstamos'!$A$2:$A$101,0))*(INDEX('Préstamos'!$G$2:$G$101,MATCH($A415,'Préstamos'!$A$2:$A$101,0))-1),INDEX('Préstamos'!$K$2:$K$101,MATCH($A415,'Préstamos'!$A$2:$A$101,0))))</f>
        <v/>
      </c>
      <c r="H415" s="29">
        <f>IF($A415="","",F415+G415)</f>
        <v/>
      </c>
      <c r="I415" s="14" t="n"/>
      <c r="J415" s="33" t="n"/>
      <c r="K415" s="16">
        <f>IF(OR($A415="",I415="Pagado"),"",MAX(0,TODAY()-E415))</f>
        <v/>
      </c>
      <c r="L415" s="16">
        <f>IF($A415="","",IF(I415="Pagado","Pagado",IF(E415&lt;TODAY(),"Atrasado",IF(E415&lt;=EOMONTH(TODAY(),0),"Este mes","Pendiente"))))</f>
        <v/>
      </c>
      <c r="M415" s="20">
        <f>IF(OR($A415="",I415="Pagado"),"",HYPERLINK("https://wa.me/"&amp;IF(INDEX('Préstamos'!$C$2:$C$101,MATCH($A415,'Préstamos'!$A$2:$A$101,0))="","","51"&amp;SUBSTITUTE(INDEX('Préstamos'!$C$2:$C$101,MATCH($A415,'Préstamos'!$A$2:$A$101,0))," ",""))&amp;"?text="&amp;SUBSTITUTE("Hola "&amp;B415&amp;", te recuerdo que tu cuota de S/ "&amp;H415&amp;IF(E415&lt;TODAY()," vencio el "," vence el ")&amp;TEXT(E415,"dd/mm")&amp;". Gracias!"," ","%20"),"WhatsApp"))</f>
        <v/>
      </c>
    </row>
    <row r="416">
      <c r="A416" s="14" t="n"/>
      <c r="B416" s="16">
        <f>IF($A416="","",INDEX('Préstamos'!$B$2:$B$101,MATCH($A416,'Préstamos'!$A$2:$A$101,0)))</f>
        <v/>
      </c>
      <c r="C416" s="14" t="n"/>
      <c r="D416" s="14" t="n"/>
      <c r="E416" s="33" t="n"/>
      <c r="F416" s="29">
        <f>IF($A416="","",IF(D416="Solo interés",0,IF(AND(D416&lt;&gt;"Solo interés",C416=INDEX('Préstamos'!$G$2:$G$101,MATCH($A416,'Préstamos'!$A$2:$A$101,0))),INDEX('Préstamos'!$D$2:$D$101,MATCH($A416,'Préstamos'!$A$2:$A$101,0))-INDEX('Préstamos'!$J$2:$J$101,MATCH($A416,'Préstamos'!$A$2:$A$101,0))*(INDEX('Préstamos'!$G$2:$G$101,MATCH($A416,'Préstamos'!$A$2:$A$101,0))-1),INDEX('Préstamos'!$J$2:$J$101,MATCH($A416,'Préstamos'!$A$2:$A$101,0)))))</f>
        <v/>
      </c>
      <c r="G416" s="29">
        <f>IF($A416="","",IF(AND(D416&lt;&gt;"Solo interés",C416=INDEX('Préstamos'!$G$2:$G$101,MATCH($A416,'Préstamos'!$A$2:$A$101,0))),INDEX('Préstamos'!$I$2:$I$101,MATCH($A416,'Préstamos'!$A$2:$A$101,0))-INDEX('Préstamos'!$K$2:$K$101,MATCH($A416,'Préstamos'!$A$2:$A$101,0))*(INDEX('Préstamos'!$G$2:$G$101,MATCH($A416,'Préstamos'!$A$2:$A$101,0))-1),INDEX('Préstamos'!$K$2:$K$101,MATCH($A416,'Préstamos'!$A$2:$A$101,0))))</f>
        <v/>
      </c>
      <c r="H416" s="29">
        <f>IF($A416="","",F416+G416)</f>
        <v/>
      </c>
      <c r="I416" s="14" t="n"/>
      <c r="J416" s="33" t="n"/>
      <c r="K416" s="16">
        <f>IF(OR($A416="",I416="Pagado"),"",MAX(0,TODAY()-E416))</f>
        <v/>
      </c>
      <c r="L416" s="16">
        <f>IF($A416="","",IF(I416="Pagado","Pagado",IF(E416&lt;TODAY(),"Atrasado",IF(E416&lt;=EOMONTH(TODAY(),0),"Este mes","Pendiente"))))</f>
        <v/>
      </c>
      <c r="M416" s="20">
        <f>IF(OR($A416="",I416="Pagado"),"",HYPERLINK("https://wa.me/"&amp;IF(INDEX('Préstamos'!$C$2:$C$101,MATCH($A416,'Préstamos'!$A$2:$A$101,0))="","","51"&amp;SUBSTITUTE(INDEX('Préstamos'!$C$2:$C$101,MATCH($A416,'Préstamos'!$A$2:$A$101,0))," ",""))&amp;"?text="&amp;SUBSTITUTE("Hola "&amp;B416&amp;", te recuerdo que tu cuota de S/ "&amp;H416&amp;IF(E416&lt;TODAY()," vencio el "," vence el ")&amp;TEXT(E416,"dd/mm")&amp;". Gracias!"," ","%20"),"WhatsApp"))</f>
        <v/>
      </c>
    </row>
    <row r="417">
      <c r="A417" s="14" t="n"/>
      <c r="B417" s="16">
        <f>IF($A417="","",INDEX('Préstamos'!$B$2:$B$101,MATCH($A417,'Préstamos'!$A$2:$A$101,0)))</f>
        <v/>
      </c>
      <c r="C417" s="14" t="n"/>
      <c r="D417" s="14" t="n"/>
      <c r="E417" s="33" t="n"/>
      <c r="F417" s="29">
        <f>IF($A417="","",IF(D417="Solo interés",0,IF(AND(D417&lt;&gt;"Solo interés",C417=INDEX('Préstamos'!$G$2:$G$101,MATCH($A417,'Préstamos'!$A$2:$A$101,0))),INDEX('Préstamos'!$D$2:$D$101,MATCH($A417,'Préstamos'!$A$2:$A$101,0))-INDEX('Préstamos'!$J$2:$J$101,MATCH($A417,'Préstamos'!$A$2:$A$101,0))*(INDEX('Préstamos'!$G$2:$G$101,MATCH($A417,'Préstamos'!$A$2:$A$101,0))-1),INDEX('Préstamos'!$J$2:$J$101,MATCH($A417,'Préstamos'!$A$2:$A$101,0)))))</f>
        <v/>
      </c>
      <c r="G417" s="29">
        <f>IF($A417="","",IF(AND(D417&lt;&gt;"Solo interés",C417=INDEX('Préstamos'!$G$2:$G$101,MATCH($A417,'Préstamos'!$A$2:$A$101,0))),INDEX('Préstamos'!$I$2:$I$101,MATCH($A417,'Préstamos'!$A$2:$A$101,0))-INDEX('Préstamos'!$K$2:$K$101,MATCH($A417,'Préstamos'!$A$2:$A$101,0))*(INDEX('Préstamos'!$G$2:$G$101,MATCH($A417,'Préstamos'!$A$2:$A$101,0))-1),INDEX('Préstamos'!$K$2:$K$101,MATCH($A417,'Préstamos'!$A$2:$A$101,0))))</f>
        <v/>
      </c>
      <c r="H417" s="29">
        <f>IF($A417="","",F417+G417)</f>
        <v/>
      </c>
      <c r="I417" s="14" t="n"/>
      <c r="J417" s="33" t="n"/>
      <c r="K417" s="16">
        <f>IF(OR($A417="",I417="Pagado"),"",MAX(0,TODAY()-E417))</f>
        <v/>
      </c>
      <c r="L417" s="16">
        <f>IF($A417="","",IF(I417="Pagado","Pagado",IF(E417&lt;TODAY(),"Atrasado",IF(E417&lt;=EOMONTH(TODAY(),0),"Este mes","Pendiente"))))</f>
        <v/>
      </c>
      <c r="M417" s="20">
        <f>IF(OR($A417="",I417="Pagado"),"",HYPERLINK("https://wa.me/"&amp;IF(INDEX('Préstamos'!$C$2:$C$101,MATCH($A417,'Préstamos'!$A$2:$A$101,0))="","","51"&amp;SUBSTITUTE(INDEX('Préstamos'!$C$2:$C$101,MATCH($A417,'Préstamos'!$A$2:$A$101,0))," ",""))&amp;"?text="&amp;SUBSTITUTE("Hola "&amp;B417&amp;", te recuerdo que tu cuota de S/ "&amp;H417&amp;IF(E417&lt;TODAY()," vencio el "," vence el ")&amp;TEXT(E417,"dd/mm")&amp;". Gracias!"," ","%20"),"WhatsApp"))</f>
        <v/>
      </c>
    </row>
    <row r="418">
      <c r="A418" s="14" t="n"/>
      <c r="B418" s="16">
        <f>IF($A418="","",INDEX('Préstamos'!$B$2:$B$101,MATCH($A418,'Préstamos'!$A$2:$A$101,0)))</f>
        <v/>
      </c>
      <c r="C418" s="14" t="n"/>
      <c r="D418" s="14" t="n"/>
      <c r="E418" s="33" t="n"/>
      <c r="F418" s="29">
        <f>IF($A418="","",IF(D418="Solo interés",0,IF(AND(D418&lt;&gt;"Solo interés",C418=INDEX('Préstamos'!$G$2:$G$101,MATCH($A418,'Préstamos'!$A$2:$A$101,0))),INDEX('Préstamos'!$D$2:$D$101,MATCH($A418,'Préstamos'!$A$2:$A$101,0))-INDEX('Préstamos'!$J$2:$J$101,MATCH($A418,'Préstamos'!$A$2:$A$101,0))*(INDEX('Préstamos'!$G$2:$G$101,MATCH($A418,'Préstamos'!$A$2:$A$101,0))-1),INDEX('Préstamos'!$J$2:$J$101,MATCH($A418,'Préstamos'!$A$2:$A$101,0)))))</f>
        <v/>
      </c>
      <c r="G418" s="29">
        <f>IF($A418="","",IF(AND(D418&lt;&gt;"Solo interés",C418=INDEX('Préstamos'!$G$2:$G$101,MATCH($A418,'Préstamos'!$A$2:$A$101,0))),INDEX('Préstamos'!$I$2:$I$101,MATCH($A418,'Préstamos'!$A$2:$A$101,0))-INDEX('Préstamos'!$K$2:$K$101,MATCH($A418,'Préstamos'!$A$2:$A$101,0))*(INDEX('Préstamos'!$G$2:$G$101,MATCH($A418,'Préstamos'!$A$2:$A$101,0))-1),INDEX('Préstamos'!$K$2:$K$101,MATCH($A418,'Préstamos'!$A$2:$A$101,0))))</f>
        <v/>
      </c>
      <c r="H418" s="29">
        <f>IF($A418="","",F418+G418)</f>
        <v/>
      </c>
      <c r="I418" s="14" t="n"/>
      <c r="J418" s="33" t="n"/>
      <c r="K418" s="16">
        <f>IF(OR($A418="",I418="Pagado"),"",MAX(0,TODAY()-E418))</f>
        <v/>
      </c>
      <c r="L418" s="16">
        <f>IF($A418="","",IF(I418="Pagado","Pagado",IF(E418&lt;TODAY(),"Atrasado",IF(E418&lt;=EOMONTH(TODAY(),0),"Este mes","Pendiente"))))</f>
        <v/>
      </c>
      <c r="M418" s="20">
        <f>IF(OR($A418="",I418="Pagado"),"",HYPERLINK("https://wa.me/"&amp;IF(INDEX('Préstamos'!$C$2:$C$101,MATCH($A418,'Préstamos'!$A$2:$A$101,0))="","","51"&amp;SUBSTITUTE(INDEX('Préstamos'!$C$2:$C$101,MATCH($A418,'Préstamos'!$A$2:$A$101,0))," ",""))&amp;"?text="&amp;SUBSTITUTE("Hola "&amp;B418&amp;", te recuerdo que tu cuota de S/ "&amp;H418&amp;IF(E418&lt;TODAY()," vencio el "," vence el ")&amp;TEXT(E418,"dd/mm")&amp;". Gracias!"," ","%20"),"WhatsApp"))</f>
        <v/>
      </c>
    </row>
    <row r="419">
      <c r="A419" s="14" t="n"/>
      <c r="B419" s="16">
        <f>IF($A419="","",INDEX('Préstamos'!$B$2:$B$101,MATCH($A419,'Préstamos'!$A$2:$A$101,0)))</f>
        <v/>
      </c>
      <c r="C419" s="14" t="n"/>
      <c r="D419" s="14" t="n"/>
      <c r="E419" s="33" t="n"/>
      <c r="F419" s="29">
        <f>IF($A419="","",IF(D419="Solo interés",0,IF(AND(D419&lt;&gt;"Solo interés",C419=INDEX('Préstamos'!$G$2:$G$101,MATCH($A419,'Préstamos'!$A$2:$A$101,0))),INDEX('Préstamos'!$D$2:$D$101,MATCH($A419,'Préstamos'!$A$2:$A$101,0))-INDEX('Préstamos'!$J$2:$J$101,MATCH($A419,'Préstamos'!$A$2:$A$101,0))*(INDEX('Préstamos'!$G$2:$G$101,MATCH($A419,'Préstamos'!$A$2:$A$101,0))-1),INDEX('Préstamos'!$J$2:$J$101,MATCH($A419,'Préstamos'!$A$2:$A$101,0)))))</f>
        <v/>
      </c>
      <c r="G419" s="29">
        <f>IF($A419="","",IF(AND(D419&lt;&gt;"Solo interés",C419=INDEX('Préstamos'!$G$2:$G$101,MATCH($A419,'Préstamos'!$A$2:$A$101,0))),INDEX('Préstamos'!$I$2:$I$101,MATCH($A419,'Préstamos'!$A$2:$A$101,0))-INDEX('Préstamos'!$K$2:$K$101,MATCH($A419,'Préstamos'!$A$2:$A$101,0))*(INDEX('Préstamos'!$G$2:$G$101,MATCH($A419,'Préstamos'!$A$2:$A$101,0))-1),INDEX('Préstamos'!$K$2:$K$101,MATCH($A419,'Préstamos'!$A$2:$A$101,0))))</f>
        <v/>
      </c>
      <c r="H419" s="29">
        <f>IF($A419="","",F419+G419)</f>
        <v/>
      </c>
      <c r="I419" s="14" t="n"/>
      <c r="J419" s="33" t="n"/>
      <c r="K419" s="16">
        <f>IF(OR($A419="",I419="Pagado"),"",MAX(0,TODAY()-E419))</f>
        <v/>
      </c>
      <c r="L419" s="16">
        <f>IF($A419="","",IF(I419="Pagado","Pagado",IF(E419&lt;TODAY(),"Atrasado",IF(E419&lt;=EOMONTH(TODAY(),0),"Este mes","Pendiente"))))</f>
        <v/>
      </c>
      <c r="M419" s="20">
        <f>IF(OR($A419="",I419="Pagado"),"",HYPERLINK("https://wa.me/"&amp;IF(INDEX('Préstamos'!$C$2:$C$101,MATCH($A419,'Préstamos'!$A$2:$A$101,0))="","","51"&amp;SUBSTITUTE(INDEX('Préstamos'!$C$2:$C$101,MATCH($A419,'Préstamos'!$A$2:$A$101,0))," ",""))&amp;"?text="&amp;SUBSTITUTE("Hola "&amp;B419&amp;", te recuerdo que tu cuota de S/ "&amp;H419&amp;IF(E419&lt;TODAY()," vencio el "," vence el ")&amp;TEXT(E419,"dd/mm")&amp;". Gracias!"," ","%20"),"WhatsApp"))</f>
        <v/>
      </c>
    </row>
    <row r="420">
      <c r="A420" s="14" t="n"/>
      <c r="B420" s="16">
        <f>IF($A420="","",INDEX('Préstamos'!$B$2:$B$101,MATCH($A420,'Préstamos'!$A$2:$A$101,0)))</f>
        <v/>
      </c>
      <c r="C420" s="14" t="n"/>
      <c r="D420" s="14" t="n"/>
      <c r="E420" s="33" t="n"/>
      <c r="F420" s="29">
        <f>IF($A420="","",IF(D420="Solo interés",0,IF(AND(D420&lt;&gt;"Solo interés",C420=INDEX('Préstamos'!$G$2:$G$101,MATCH($A420,'Préstamos'!$A$2:$A$101,0))),INDEX('Préstamos'!$D$2:$D$101,MATCH($A420,'Préstamos'!$A$2:$A$101,0))-INDEX('Préstamos'!$J$2:$J$101,MATCH($A420,'Préstamos'!$A$2:$A$101,0))*(INDEX('Préstamos'!$G$2:$G$101,MATCH($A420,'Préstamos'!$A$2:$A$101,0))-1),INDEX('Préstamos'!$J$2:$J$101,MATCH($A420,'Préstamos'!$A$2:$A$101,0)))))</f>
        <v/>
      </c>
      <c r="G420" s="29">
        <f>IF($A420="","",IF(AND(D420&lt;&gt;"Solo interés",C420=INDEX('Préstamos'!$G$2:$G$101,MATCH($A420,'Préstamos'!$A$2:$A$101,0))),INDEX('Préstamos'!$I$2:$I$101,MATCH($A420,'Préstamos'!$A$2:$A$101,0))-INDEX('Préstamos'!$K$2:$K$101,MATCH($A420,'Préstamos'!$A$2:$A$101,0))*(INDEX('Préstamos'!$G$2:$G$101,MATCH($A420,'Préstamos'!$A$2:$A$101,0))-1),INDEX('Préstamos'!$K$2:$K$101,MATCH($A420,'Préstamos'!$A$2:$A$101,0))))</f>
        <v/>
      </c>
      <c r="H420" s="29">
        <f>IF($A420="","",F420+G420)</f>
        <v/>
      </c>
      <c r="I420" s="14" t="n"/>
      <c r="J420" s="33" t="n"/>
      <c r="K420" s="16">
        <f>IF(OR($A420="",I420="Pagado"),"",MAX(0,TODAY()-E420))</f>
        <v/>
      </c>
      <c r="L420" s="16">
        <f>IF($A420="","",IF(I420="Pagado","Pagado",IF(E420&lt;TODAY(),"Atrasado",IF(E420&lt;=EOMONTH(TODAY(),0),"Este mes","Pendiente"))))</f>
        <v/>
      </c>
      <c r="M420" s="20">
        <f>IF(OR($A420="",I420="Pagado"),"",HYPERLINK("https://wa.me/"&amp;IF(INDEX('Préstamos'!$C$2:$C$101,MATCH($A420,'Préstamos'!$A$2:$A$101,0))="","","51"&amp;SUBSTITUTE(INDEX('Préstamos'!$C$2:$C$101,MATCH($A420,'Préstamos'!$A$2:$A$101,0))," ",""))&amp;"?text="&amp;SUBSTITUTE("Hola "&amp;B420&amp;", te recuerdo que tu cuota de S/ "&amp;H420&amp;IF(E420&lt;TODAY()," vencio el "," vence el ")&amp;TEXT(E420,"dd/mm")&amp;". Gracias!"," ","%20"),"WhatsApp"))</f>
        <v/>
      </c>
    </row>
    <row r="421">
      <c r="A421" s="14" t="n"/>
      <c r="B421" s="16">
        <f>IF($A421="","",INDEX('Préstamos'!$B$2:$B$101,MATCH($A421,'Préstamos'!$A$2:$A$101,0)))</f>
        <v/>
      </c>
      <c r="C421" s="14" t="n"/>
      <c r="D421" s="14" t="n"/>
      <c r="E421" s="33" t="n"/>
      <c r="F421" s="29">
        <f>IF($A421="","",IF(D421="Solo interés",0,IF(AND(D421&lt;&gt;"Solo interés",C421=INDEX('Préstamos'!$G$2:$G$101,MATCH($A421,'Préstamos'!$A$2:$A$101,0))),INDEX('Préstamos'!$D$2:$D$101,MATCH($A421,'Préstamos'!$A$2:$A$101,0))-INDEX('Préstamos'!$J$2:$J$101,MATCH($A421,'Préstamos'!$A$2:$A$101,0))*(INDEX('Préstamos'!$G$2:$G$101,MATCH($A421,'Préstamos'!$A$2:$A$101,0))-1),INDEX('Préstamos'!$J$2:$J$101,MATCH($A421,'Préstamos'!$A$2:$A$101,0)))))</f>
        <v/>
      </c>
      <c r="G421" s="29">
        <f>IF($A421="","",IF(AND(D421&lt;&gt;"Solo interés",C421=INDEX('Préstamos'!$G$2:$G$101,MATCH($A421,'Préstamos'!$A$2:$A$101,0))),INDEX('Préstamos'!$I$2:$I$101,MATCH($A421,'Préstamos'!$A$2:$A$101,0))-INDEX('Préstamos'!$K$2:$K$101,MATCH($A421,'Préstamos'!$A$2:$A$101,0))*(INDEX('Préstamos'!$G$2:$G$101,MATCH($A421,'Préstamos'!$A$2:$A$101,0))-1),INDEX('Préstamos'!$K$2:$K$101,MATCH($A421,'Préstamos'!$A$2:$A$101,0))))</f>
        <v/>
      </c>
      <c r="H421" s="29">
        <f>IF($A421="","",F421+G421)</f>
        <v/>
      </c>
      <c r="I421" s="14" t="n"/>
      <c r="J421" s="33" t="n"/>
      <c r="K421" s="16">
        <f>IF(OR($A421="",I421="Pagado"),"",MAX(0,TODAY()-E421))</f>
        <v/>
      </c>
      <c r="L421" s="16">
        <f>IF($A421="","",IF(I421="Pagado","Pagado",IF(E421&lt;TODAY(),"Atrasado",IF(E421&lt;=EOMONTH(TODAY(),0),"Este mes","Pendiente"))))</f>
        <v/>
      </c>
      <c r="M421" s="20">
        <f>IF(OR($A421="",I421="Pagado"),"",HYPERLINK("https://wa.me/"&amp;IF(INDEX('Préstamos'!$C$2:$C$101,MATCH($A421,'Préstamos'!$A$2:$A$101,0))="","","51"&amp;SUBSTITUTE(INDEX('Préstamos'!$C$2:$C$101,MATCH($A421,'Préstamos'!$A$2:$A$101,0))," ",""))&amp;"?text="&amp;SUBSTITUTE("Hola "&amp;B421&amp;", te recuerdo que tu cuota de S/ "&amp;H421&amp;IF(E421&lt;TODAY()," vencio el "," vence el ")&amp;TEXT(E421,"dd/mm")&amp;". Gracias!"," ","%20"),"WhatsApp"))</f>
        <v/>
      </c>
    </row>
    <row r="422">
      <c r="A422" s="14" t="n"/>
      <c r="B422" s="16">
        <f>IF($A422="","",INDEX('Préstamos'!$B$2:$B$101,MATCH($A422,'Préstamos'!$A$2:$A$101,0)))</f>
        <v/>
      </c>
      <c r="C422" s="14" t="n"/>
      <c r="D422" s="14" t="n"/>
      <c r="E422" s="33" t="n"/>
      <c r="F422" s="29">
        <f>IF($A422="","",IF(D422="Solo interés",0,IF(AND(D422&lt;&gt;"Solo interés",C422=INDEX('Préstamos'!$G$2:$G$101,MATCH($A422,'Préstamos'!$A$2:$A$101,0))),INDEX('Préstamos'!$D$2:$D$101,MATCH($A422,'Préstamos'!$A$2:$A$101,0))-INDEX('Préstamos'!$J$2:$J$101,MATCH($A422,'Préstamos'!$A$2:$A$101,0))*(INDEX('Préstamos'!$G$2:$G$101,MATCH($A422,'Préstamos'!$A$2:$A$101,0))-1),INDEX('Préstamos'!$J$2:$J$101,MATCH($A422,'Préstamos'!$A$2:$A$101,0)))))</f>
        <v/>
      </c>
      <c r="G422" s="29">
        <f>IF($A422="","",IF(AND(D422&lt;&gt;"Solo interés",C422=INDEX('Préstamos'!$G$2:$G$101,MATCH($A422,'Préstamos'!$A$2:$A$101,0))),INDEX('Préstamos'!$I$2:$I$101,MATCH($A422,'Préstamos'!$A$2:$A$101,0))-INDEX('Préstamos'!$K$2:$K$101,MATCH($A422,'Préstamos'!$A$2:$A$101,0))*(INDEX('Préstamos'!$G$2:$G$101,MATCH($A422,'Préstamos'!$A$2:$A$101,0))-1),INDEX('Préstamos'!$K$2:$K$101,MATCH($A422,'Préstamos'!$A$2:$A$101,0))))</f>
        <v/>
      </c>
      <c r="H422" s="29">
        <f>IF($A422="","",F422+G422)</f>
        <v/>
      </c>
      <c r="I422" s="14" t="n"/>
      <c r="J422" s="33" t="n"/>
      <c r="K422" s="16">
        <f>IF(OR($A422="",I422="Pagado"),"",MAX(0,TODAY()-E422))</f>
        <v/>
      </c>
      <c r="L422" s="16">
        <f>IF($A422="","",IF(I422="Pagado","Pagado",IF(E422&lt;TODAY(),"Atrasado",IF(E422&lt;=EOMONTH(TODAY(),0),"Este mes","Pendiente"))))</f>
        <v/>
      </c>
      <c r="M422" s="20">
        <f>IF(OR($A422="",I422="Pagado"),"",HYPERLINK("https://wa.me/"&amp;IF(INDEX('Préstamos'!$C$2:$C$101,MATCH($A422,'Préstamos'!$A$2:$A$101,0))="","","51"&amp;SUBSTITUTE(INDEX('Préstamos'!$C$2:$C$101,MATCH($A422,'Préstamos'!$A$2:$A$101,0))," ",""))&amp;"?text="&amp;SUBSTITUTE("Hola "&amp;B422&amp;", te recuerdo que tu cuota de S/ "&amp;H422&amp;IF(E422&lt;TODAY()," vencio el "," vence el ")&amp;TEXT(E422,"dd/mm")&amp;". Gracias!"," ","%20"),"WhatsApp"))</f>
        <v/>
      </c>
    </row>
    <row r="423">
      <c r="A423" s="14" t="n"/>
      <c r="B423" s="16">
        <f>IF($A423="","",INDEX('Préstamos'!$B$2:$B$101,MATCH($A423,'Préstamos'!$A$2:$A$101,0)))</f>
        <v/>
      </c>
      <c r="C423" s="14" t="n"/>
      <c r="D423" s="14" t="n"/>
      <c r="E423" s="33" t="n"/>
      <c r="F423" s="29">
        <f>IF($A423="","",IF(D423="Solo interés",0,IF(AND(D423&lt;&gt;"Solo interés",C423=INDEX('Préstamos'!$G$2:$G$101,MATCH($A423,'Préstamos'!$A$2:$A$101,0))),INDEX('Préstamos'!$D$2:$D$101,MATCH($A423,'Préstamos'!$A$2:$A$101,0))-INDEX('Préstamos'!$J$2:$J$101,MATCH($A423,'Préstamos'!$A$2:$A$101,0))*(INDEX('Préstamos'!$G$2:$G$101,MATCH($A423,'Préstamos'!$A$2:$A$101,0))-1),INDEX('Préstamos'!$J$2:$J$101,MATCH($A423,'Préstamos'!$A$2:$A$101,0)))))</f>
        <v/>
      </c>
      <c r="G423" s="29">
        <f>IF($A423="","",IF(AND(D423&lt;&gt;"Solo interés",C423=INDEX('Préstamos'!$G$2:$G$101,MATCH($A423,'Préstamos'!$A$2:$A$101,0))),INDEX('Préstamos'!$I$2:$I$101,MATCH($A423,'Préstamos'!$A$2:$A$101,0))-INDEX('Préstamos'!$K$2:$K$101,MATCH($A423,'Préstamos'!$A$2:$A$101,0))*(INDEX('Préstamos'!$G$2:$G$101,MATCH($A423,'Préstamos'!$A$2:$A$101,0))-1),INDEX('Préstamos'!$K$2:$K$101,MATCH($A423,'Préstamos'!$A$2:$A$101,0))))</f>
        <v/>
      </c>
      <c r="H423" s="29">
        <f>IF($A423="","",F423+G423)</f>
        <v/>
      </c>
      <c r="I423" s="14" t="n"/>
      <c r="J423" s="33" t="n"/>
      <c r="K423" s="16">
        <f>IF(OR($A423="",I423="Pagado"),"",MAX(0,TODAY()-E423))</f>
        <v/>
      </c>
      <c r="L423" s="16">
        <f>IF($A423="","",IF(I423="Pagado","Pagado",IF(E423&lt;TODAY(),"Atrasado",IF(E423&lt;=EOMONTH(TODAY(),0),"Este mes","Pendiente"))))</f>
        <v/>
      </c>
      <c r="M423" s="20">
        <f>IF(OR($A423="",I423="Pagado"),"",HYPERLINK("https://wa.me/"&amp;IF(INDEX('Préstamos'!$C$2:$C$101,MATCH($A423,'Préstamos'!$A$2:$A$101,0))="","","51"&amp;SUBSTITUTE(INDEX('Préstamos'!$C$2:$C$101,MATCH($A423,'Préstamos'!$A$2:$A$101,0))," ",""))&amp;"?text="&amp;SUBSTITUTE("Hola "&amp;B423&amp;", te recuerdo que tu cuota de S/ "&amp;H423&amp;IF(E423&lt;TODAY()," vencio el "," vence el ")&amp;TEXT(E423,"dd/mm")&amp;". Gracias!"," ","%20"),"WhatsApp"))</f>
        <v/>
      </c>
    </row>
    <row r="424">
      <c r="A424" s="14" t="n"/>
      <c r="B424" s="16">
        <f>IF($A424="","",INDEX('Préstamos'!$B$2:$B$101,MATCH($A424,'Préstamos'!$A$2:$A$101,0)))</f>
        <v/>
      </c>
      <c r="C424" s="14" t="n"/>
      <c r="D424" s="14" t="n"/>
      <c r="E424" s="33" t="n"/>
      <c r="F424" s="29">
        <f>IF($A424="","",IF(D424="Solo interés",0,IF(AND(D424&lt;&gt;"Solo interés",C424=INDEX('Préstamos'!$G$2:$G$101,MATCH($A424,'Préstamos'!$A$2:$A$101,0))),INDEX('Préstamos'!$D$2:$D$101,MATCH($A424,'Préstamos'!$A$2:$A$101,0))-INDEX('Préstamos'!$J$2:$J$101,MATCH($A424,'Préstamos'!$A$2:$A$101,0))*(INDEX('Préstamos'!$G$2:$G$101,MATCH($A424,'Préstamos'!$A$2:$A$101,0))-1),INDEX('Préstamos'!$J$2:$J$101,MATCH($A424,'Préstamos'!$A$2:$A$101,0)))))</f>
        <v/>
      </c>
      <c r="G424" s="29">
        <f>IF($A424="","",IF(AND(D424&lt;&gt;"Solo interés",C424=INDEX('Préstamos'!$G$2:$G$101,MATCH($A424,'Préstamos'!$A$2:$A$101,0))),INDEX('Préstamos'!$I$2:$I$101,MATCH($A424,'Préstamos'!$A$2:$A$101,0))-INDEX('Préstamos'!$K$2:$K$101,MATCH($A424,'Préstamos'!$A$2:$A$101,0))*(INDEX('Préstamos'!$G$2:$G$101,MATCH($A424,'Préstamos'!$A$2:$A$101,0))-1),INDEX('Préstamos'!$K$2:$K$101,MATCH($A424,'Préstamos'!$A$2:$A$101,0))))</f>
        <v/>
      </c>
      <c r="H424" s="29">
        <f>IF($A424="","",F424+G424)</f>
        <v/>
      </c>
      <c r="I424" s="14" t="n"/>
      <c r="J424" s="33" t="n"/>
      <c r="K424" s="16">
        <f>IF(OR($A424="",I424="Pagado"),"",MAX(0,TODAY()-E424))</f>
        <v/>
      </c>
      <c r="L424" s="16">
        <f>IF($A424="","",IF(I424="Pagado","Pagado",IF(E424&lt;TODAY(),"Atrasado",IF(E424&lt;=EOMONTH(TODAY(),0),"Este mes","Pendiente"))))</f>
        <v/>
      </c>
      <c r="M424" s="20">
        <f>IF(OR($A424="",I424="Pagado"),"",HYPERLINK("https://wa.me/"&amp;IF(INDEX('Préstamos'!$C$2:$C$101,MATCH($A424,'Préstamos'!$A$2:$A$101,0))="","","51"&amp;SUBSTITUTE(INDEX('Préstamos'!$C$2:$C$101,MATCH($A424,'Préstamos'!$A$2:$A$101,0))," ",""))&amp;"?text="&amp;SUBSTITUTE("Hola "&amp;B424&amp;", te recuerdo que tu cuota de S/ "&amp;H424&amp;IF(E424&lt;TODAY()," vencio el "," vence el ")&amp;TEXT(E424,"dd/mm")&amp;". Gracias!"," ","%20"),"WhatsApp"))</f>
        <v/>
      </c>
    </row>
    <row r="425">
      <c r="A425" s="14" t="n"/>
      <c r="B425" s="16">
        <f>IF($A425="","",INDEX('Préstamos'!$B$2:$B$101,MATCH($A425,'Préstamos'!$A$2:$A$101,0)))</f>
        <v/>
      </c>
      <c r="C425" s="14" t="n"/>
      <c r="D425" s="14" t="n"/>
      <c r="E425" s="33" t="n"/>
      <c r="F425" s="29">
        <f>IF($A425="","",IF(D425="Solo interés",0,IF(AND(D425&lt;&gt;"Solo interés",C425=INDEX('Préstamos'!$G$2:$G$101,MATCH($A425,'Préstamos'!$A$2:$A$101,0))),INDEX('Préstamos'!$D$2:$D$101,MATCH($A425,'Préstamos'!$A$2:$A$101,0))-INDEX('Préstamos'!$J$2:$J$101,MATCH($A425,'Préstamos'!$A$2:$A$101,0))*(INDEX('Préstamos'!$G$2:$G$101,MATCH($A425,'Préstamos'!$A$2:$A$101,0))-1),INDEX('Préstamos'!$J$2:$J$101,MATCH($A425,'Préstamos'!$A$2:$A$101,0)))))</f>
        <v/>
      </c>
      <c r="G425" s="29">
        <f>IF($A425="","",IF(AND(D425&lt;&gt;"Solo interés",C425=INDEX('Préstamos'!$G$2:$G$101,MATCH($A425,'Préstamos'!$A$2:$A$101,0))),INDEX('Préstamos'!$I$2:$I$101,MATCH($A425,'Préstamos'!$A$2:$A$101,0))-INDEX('Préstamos'!$K$2:$K$101,MATCH($A425,'Préstamos'!$A$2:$A$101,0))*(INDEX('Préstamos'!$G$2:$G$101,MATCH($A425,'Préstamos'!$A$2:$A$101,0))-1),INDEX('Préstamos'!$K$2:$K$101,MATCH($A425,'Préstamos'!$A$2:$A$101,0))))</f>
        <v/>
      </c>
      <c r="H425" s="29">
        <f>IF($A425="","",F425+G425)</f>
        <v/>
      </c>
      <c r="I425" s="14" t="n"/>
      <c r="J425" s="33" t="n"/>
      <c r="K425" s="16">
        <f>IF(OR($A425="",I425="Pagado"),"",MAX(0,TODAY()-E425))</f>
        <v/>
      </c>
      <c r="L425" s="16">
        <f>IF($A425="","",IF(I425="Pagado","Pagado",IF(E425&lt;TODAY(),"Atrasado",IF(E425&lt;=EOMONTH(TODAY(),0),"Este mes","Pendiente"))))</f>
        <v/>
      </c>
      <c r="M425" s="20">
        <f>IF(OR($A425="",I425="Pagado"),"",HYPERLINK("https://wa.me/"&amp;IF(INDEX('Préstamos'!$C$2:$C$101,MATCH($A425,'Préstamos'!$A$2:$A$101,0))="","","51"&amp;SUBSTITUTE(INDEX('Préstamos'!$C$2:$C$101,MATCH($A425,'Préstamos'!$A$2:$A$101,0))," ",""))&amp;"?text="&amp;SUBSTITUTE("Hola "&amp;B425&amp;", te recuerdo que tu cuota de S/ "&amp;H425&amp;IF(E425&lt;TODAY()," vencio el "," vence el ")&amp;TEXT(E425,"dd/mm")&amp;". Gracias!"," ","%20"),"WhatsApp"))</f>
        <v/>
      </c>
    </row>
    <row r="426">
      <c r="A426" s="14" t="n"/>
      <c r="B426" s="16">
        <f>IF($A426="","",INDEX('Préstamos'!$B$2:$B$101,MATCH($A426,'Préstamos'!$A$2:$A$101,0)))</f>
        <v/>
      </c>
      <c r="C426" s="14" t="n"/>
      <c r="D426" s="14" t="n"/>
      <c r="E426" s="33" t="n"/>
      <c r="F426" s="29">
        <f>IF($A426="","",IF(D426="Solo interés",0,IF(AND(D426&lt;&gt;"Solo interés",C426=INDEX('Préstamos'!$G$2:$G$101,MATCH($A426,'Préstamos'!$A$2:$A$101,0))),INDEX('Préstamos'!$D$2:$D$101,MATCH($A426,'Préstamos'!$A$2:$A$101,0))-INDEX('Préstamos'!$J$2:$J$101,MATCH($A426,'Préstamos'!$A$2:$A$101,0))*(INDEX('Préstamos'!$G$2:$G$101,MATCH($A426,'Préstamos'!$A$2:$A$101,0))-1),INDEX('Préstamos'!$J$2:$J$101,MATCH($A426,'Préstamos'!$A$2:$A$101,0)))))</f>
        <v/>
      </c>
      <c r="G426" s="29">
        <f>IF($A426="","",IF(AND(D426&lt;&gt;"Solo interés",C426=INDEX('Préstamos'!$G$2:$G$101,MATCH($A426,'Préstamos'!$A$2:$A$101,0))),INDEX('Préstamos'!$I$2:$I$101,MATCH($A426,'Préstamos'!$A$2:$A$101,0))-INDEX('Préstamos'!$K$2:$K$101,MATCH($A426,'Préstamos'!$A$2:$A$101,0))*(INDEX('Préstamos'!$G$2:$G$101,MATCH($A426,'Préstamos'!$A$2:$A$101,0))-1),INDEX('Préstamos'!$K$2:$K$101,MATCH($A426,'Préstamos'!$A$2:$A$101,0))))</f>
        <v/>
      </c>
      <c r="H426" s="29">
        <f>IF($A426="","",F426+G426)</f>
        <v/>
      </c>
      <c r="I426" s="14" t="n"/>
      <c r="J426" s="33" t="n"/>
      <c r="K426" s="16">
        <f>IF(OR($A426="",I426="Pagado"),"",MAX(0,TODAY()-E426))</f>
        <v/>
      </c>
      <c r="L426" s="16">
        <f>IF($A426="","",IF(I426="Pagado","Pagado",IF(E426&lt;TODAY(),"Atrasado",IF(E426&lt;=EOMONTH(TODAY(),0),"Este mes","Pendiente"))))</f>
        <v/>
      </c>
      <c r="M426" s="20">
        <f>IF(OR($A426="",I426="Pagado"),"",HYPERLINK("https://wa.me/"&amp;IF(INDEX('Préstamos'!$C$2:$C$101,MATCH($A426,'Préstamos'!$A$2:$A$101,0))="","","51"&amp;SUBSTITUTE(INDEX('Préstamos'!$C$2:$C$101,MATCH($A426,'Préstamos'!$A$2:$A$101,0))," ",""))&amp;"?text="&amp;SUBSTITUTE("Hola "&amp;B426&amp;", te recuerdo que tu cuota de S/ "&amp;H426&amp;IF(E426&lt;TODAY()," vencio el "," vence el ")&amp;TEXT(E426,"dd/mm")&amp;". Gracias!"," ","%20"),"WhatsApp"))</f>
        <v/>
      </c>
    </row>
    <row r="427">
      <c r="A427" s="14" t="n"/>
      <c r="B427" s="16">
        <f>IF($A427="","",INDEX('Préstamos'!$B$2:$B$101,MATCH($A427,'Préstamos'!$A$2:$A$101,0)))</f>
        <v/>
      </c>
      <c r="C427" s="14" t="n"/>
      <c r="D427" s="14" t="n"/>
      <c r="E427" s="33" t="n"/>
      <c r="F427" s="29">
        <f>IF($A427="","",IF(D427="Solo interés",0,IF(AND(D427&lt;&gt;"Solo interés",C427=INDEX('Préstamos'!$G$2:$G$101,MATCH($A427,'Préstamos'!$A$2:$A$101,0))),INDEX('Préstamos'!$D$2:$D$101,MATCH($A427,'Préstamos'!$A$2:$A$101,0))-INDEX('Préstamos'!$J$2:$J$101,MATCH($A427,'Préstamos'!$A$2:$A$101,0))*(INDEX('Préstamos'!$G$2:$G$101,MATCH($A427,'Préstamos'!$A$2:$A$101,0))-1),INDEX('Préstamos'!$J$2:$J$101,MATCH($A427,'Préstamos'!$A$2:$A$101,0)))))</f>
        <v/>
      </c>
      <c r="G427" s="29">
        <f>IF($A427="","",IF(AND(D427&lt;&gt;"Solo interés",C427=INDEX('Préstamos'!$G$2:$G$101,MATCH($A427,'Préstamos'!$A$2:$A$101,0))),INDEX('Préstamos'!$I$2:$I$101,MATCH($A427,'Préstamos'!$A$2:$A$101,0))-INDEX('Préstamos'!$K$2:$K$101,MATCH($A427,'Préstamos'!$A$2:$A$101,0))*(INDEX('Préstamos'!$G$2:$G$101,MATCH($A427,'Préstamos'!$A$2:$A$101,0))-1),INDEX('Préstamos'!$K$2:$K$101,MATCH($A427,'Préstamos'!$A$2:$A$101,0))))</f>
        <v/>
      </c>
      <c r="H427" s="29">
        <f>IF($A427="","",F427+G427)</f>
        <v/>
      </c>
      <c r="I427" s="14" t="n"/>
      <c r="J427" s="33" t="n"/>
      <c r="K427" s="16">
        <f>IF(OR($A427="",I427="Pagado"),"",MAX(0,TODAY()-E427))</f>
        <v/>
      </c>
      <c r="L427" s="16">
        <f>IF($A427="","",IF(I427="Pagado","Pagado",IF(E427&lt;TODAY(),"Atrasado",IF(E427&lt;=EOMONTH(TODAY(),0),"Este mes","Pendiente"))))</f>
        <v/>
      </c>
      <c r="M427" s="20">
        <f>IF(OR($A427="",I427="Pagado"),"",HYPERLINK("https://wa.me/"&amp;IF(INDEX('Préstamos'!$C$2:$C$101,MATCH($A427,'Préstamos'!$A$2:$A$101,0))="","","51"&amp;SUBSTITUTE(INDEX('Préstamos'!$C$2:$C$101,MATCH($A427,'Préstamos'!$A$2:$A$101,0))," ",""))&amp;"?text="&amp;SUBSTITUTE("Hola "&amp;B427&amp;", te recuerdo que tu cuota de S/ "&amp;H427&amp;IF(E427&lt;TODAY()," vencio el "," vence el ")&amp;TEXT(E427,"dd/mm")&amp;". Gracias!"," ","%20"),"WhatsApp"))</f>
        <v/>
      </c>
    </row>
    <row r="428">
      <c r="A428" s="14" t="n"/>
      <c r="B428" s="16">
        <f>IF($A428="","",INDEX('Préstamos'!$B$2:$B$101,MATCH($A428,'Préstamos'!$A$2:$A$101,0)))</f>
        <v/>
      </c>
      <c r="C428" s="14" t="n"/>
      <c r="D428" s="14" t="n"/>
      <c r="E428" s="33" t="n"/>
      <c r="F428" s="29">
        <f>IF($A428="","",IF(D428="Solo interés",0,IF(AND(D428&lt;&gt;"Solo interés",C428=INDEX('Préstamos'!$G$2:$G$101,MATCH($A428,'Préstamos'!$A$2:$A$101,0))),INDEX('Préstamos'!$D$2:$D$101,MATCH($A428,'Préstamos'!$A$2:$A$101,0))-INDEX('Préstamos'!$J$2:$J$101,MATCH($A428,'Préstamos'!$A$2:$A$101,0))*(INDEX('Préstamos'!$G$2:$G$101,MATCH($A428,'Préstamos'!$A$2:$A$101,0))-1),INDEX('Préstamos'!$J$2:$J$101,MATCH($A428,'Préstamos'!$A$2:$A$101,0)))))</f>
        <v/>
      </c>
      <c r="G428" s="29">
        <f>IF($A428="","",IF(AND(D428&lt;&gt;"Solo interés",C428=INDEX('Préstamos'!$G$2:$G$101,MATCH($A428,'Préstamos'!$A$2:$A$101,0))),INDEX('Préstamos'!$I$2:$I$101,MATCH($A428,'Préstamos'!$A$2:$A$101,0))-INDEX('Préstamos'!$K$2:$K$101,MATCH($A428,'Préstamos'!$A$2:$A$101,0))*(INDEX('Préstamos'!$G$2:$G$101,MATCH($A428,'Préstamos'!$A$2:$A$101,0))-1),INDEX('Préstamos'!$K$2:$K$101,MATCH($A428,'Préstamos'!$A$2:$A$101,0))))</f>
        <v/>
      </c>
      <c r="H428" s="29">
        <f>IF($A428="","",F428+G428)</f>
        <v/>
      </c>
      <c r="I428" s="14" t="n"/>
      <c r="J428" s="33" t="n"/>
      <c r="K428" s="16">
        <f>IF(OR($A428="",I428="Pagado"),"",MAX(0,TODAY()-E428))</f>
        <v/>
      </c>
      <c r="L428" s="16">
        <f>IF($A428="","",IF(I428="Pagado","Pagado",IF(E428&lt;TODAY(),"Atrasado",IF(E428&lt;=EOMONTH(TODAY(),0),"Este mes","Pendiente"))))</f>
        <v/>
      </c>
      <c r="M428" s="20">
        <f>IF(OR($A428="",I428="Pagado"),"",HYPERLINK("https://wa.me/"&amp;IF(INDEX('Préstamos'!$C$2:$C$101,MATCH($A428,'Préstamos'!$A$2:$A$101,0))="","","51"&amp;SUBSTITUTE(INDEX('Préstamos'!$C$2:$C$101,MATCH($A428,'Préstamos'!$A$2:$A$101,0))," ",""))&amp;"?text="&amp;SUBSTITUTE("Hola "&amp;B428&amp;", te recuerdo que tu cuota de S/ "&amp;H428&amp;IF(E428&lt;TODAY()," vencio el "," vence el ")&amp;TEXT(E428,"dd/mm")&amp;". Gracias!"," ","%20"),"WhatsApp"))</f>
        <v/>
      </c>
    </row>
    <row r="429">
      <c r="A429" s="14" t="n"/>
      <c r="B429" s="16">
        <f>IF($A429="","",INDEX('Préstamos'!$B$2:$B$101,MATCH($A429,'Préstamos'!$A$2:$A$101,0)))</f>
        <v/>
      </c>
      <c r="C429" s="14" t="n"/>
      <c r="D429" s="14" t="n"/>
      <c r="E429" s="33" t="n"/>
      <c r="F429" s="29">
        <f>IF($A429="","",IF(D429="Solo interés",0,IF(AND(D429&lt;&gt;"Solo interés",C429=INDEX('Préstamos'!$G$2:$G$101,MATCH($A429,'Préstamos'!$A$2:$A$101,0))),INDEX('Préstamos'!$D$2:$D$101,MATCH($A429,'Préstamos'!$A$2:$A$101,0))-INDEX('Préstamos'!$J$2:$J$101,MATCH($A429,'Préstamos'!$A$2:$A$101,0))*(INDEX('Préstamos'!$G$2:$G$101,MATCH($A429,'Préstamos'!$A$2:$A$101,0))-1),INDEX('Préstamos'!$J$2:$J$101,MATCH($A429,'Préstamos'!$A$2:$A$101,0)))))</f>
        <v/>
      </c>
      <c r="G429" s="29">
        <f>IF($A429="","",IF(AND(D429&lt;&gt;"Solo interés",C429=INDEX('Préstamos'!$G$2:$G$101,MATCH($A429,'Préstamos'!$A$2:$A$101,0))),INDEX('Préstamos'!$I$2:$I$101,MATCH($A429,'Préstamos'!$A$2:$A$101,0))-INDEX('Préstamos'!$K$2:$K$101,MATCH($A429,'Préstamos'!$A$2:$A$101,0))*(INDEX('Préstamos'!$G$2:$G$101,MATCH($A429,'Préstamos'!$A$2:$A$101,0))-1),INDEX('Préstamos'!$K$2:$K$101,MATCH($A429,'Préstamos'!$A$2:$A$101,0))))</f>
        <v/>
      </c>
      <c r="H429" s="29">
        <f>IF($A429="","",F429+G429)</f>
        <v/>
      </c>
      <c r="I429" s="14" t="n"/>
      <c r="J429" s="33" t="n"/>
      <c r="K429" s="16">
        <f>IF(OR($A429="",I429="Pagado"),"",MAX(0,TODAY()-E429))</f>
        <v/>
      </c>
      <c r="L429" s="16">
        <f>IF($A429="","",IF(I429="Pagado","Pagado",IF(E429&lt;TODAY(),"Atrasado",IF(E429&lt;=EOMONTH(TODAY(),0),"Este mes","Pendiente"))))</f>
        <v/>
      </c>
      <c r="M429" s="20">
        <f>IF(OR($A429="",I429="Pagado"),"",HYPERLINK("https://wa.me/"&amp;IF(INDEX('Préstamos'!$C$2:$C$101,MATCH($A429,'Préstamos'!$A$2:$A$101,0))="","","51"&amp;SUBSTITUTE(INDEX('Préstamos'!$C$2:$C$101,MATCH($A429,'Préstamos'!$A$2:$A$101,0))," ",""))&amp;"?text="&amp;SUBSTITUTE("Hola "&amp;B429&amp;", te recuerdo que tu cuota de S/ "&amp;H429&amp;IF(E429&lt;TODAY()," vencio el "," vence el ")&amp;TEXT(E429,"dd/mm")&amp;". Gracias!"," ","%20"),"WhatsApp"))</f>
        <v/>
      </c>
    </row>
    <row r="430">
      <c r="A430" s="14" t="n"/>
      <c r="B430" s="16">
        <f>IF($A430="","",INDEX('Préstamos'!$B$2:$B$101,MATCH($A430,'Préstamos'!$A$2:$A$101,0)))</f>
        <v/>
      </c>
      <c r="C430" s="14" t="n"/>
      <c r="D430" s="14" t="n"/>
      <c r="E430" s="33" t="n"/>
      <c r="F430" s="29">
        <f>IF($A430="","",IF(D430="Solo interés",0,IF(AND(D430&lt;&gt;"Solo interés",C430=INDEX('Préstamos'!$G$2:$G$101,MATCH($A430,'Préstamos'!$A$2:$A$101,0))),INDEX('Préstamos'!$D$2:$D$101,MATCH($A430,'Préstamos'!$A$2:$A$101,0))-INDEX('Préstamos'!$J$2:$J$101,MATCH($A430,'Préstamos'!$A$2:$A$101,0))*(INDEX('Préstamos'!$G$2:$G$101,MATCH($A430,'Préstamos'!$A$2:$A$101,0))-1),INDEX('Préstamos'!$J$2:$J$101,MATCH($A430,'Préstamos'!$A$2:$A$101,0)))))</f>
        <v/>
      </c>
      <c r="G430" s="29">
        <f>IF($A430="","",IF(AND(D430&lt;&gt;"Solo interés",C430=INDEX('Préstamos'!$G$2:$G$101,MATCH($A430,'Préstamos'!$A$2:$A$101,0))),INDEX('Préstamos'!$I$2:$I$101,MATCH($A430,'Préstamos'!$A$2:$A$101,0))-INDEX('Préstamos'!$K$2:$K$101,MATCH($A430,'Préstamos'!$A$2:$A$101,0))*(INDEX('Préstamos'!$G$2:$G$101,MATCH($A430,'Préstamos'!$A$2:$A$101,0))-1),INDEX('Préstamos'!$K$2:$K$101,MATCH($A430,'Préstamos'!$A$2:$A$101,0))))</f>
        <v/>
      </c>
      <c r="H430" s="29">
        <f>IF($A430="","",F430+G430)</f>
        <v/>
      </c>
      <c r="I430" s="14" t="n"/>
      <c r="J430" s="33" t="n"/>
      <c r="K430" s="16">
        <f>IF(OR($A430="",I430="Pagado"),"",MAX(0,TODAY()-E430))</f>
        <v/>
      </c>
      <c r="L430" s="16">
        <f>IF($A430="","",IF(I430="Pagado","Pagado",IF(E430&lt;TODAY(),"Atrasado",IF(E430&lt;=EOMONTH(TODAY(),0),"Este mes","Pendiente"))))</f>
        <v/>
      </c>
      <c r="M430" s="20">
        <f>IF(OR($A430="",I430="Pagado"),"",HYPERLINK("https://wa.me/"&amp;IF(INDEX('Préstamos'!$C$2:$C$101,MATCH($A430,'Préstamos'!$A$2:$A$101,0))="","","51"&amp;SUBSTITUTE(INDEX('Préstamos'!$C$2:$C$101,MATCH($A430,'Préstamos'!$A$2:$A$101,0))," ",""))&amp;"?text="&amp;SUBSTITUTE("Hola "&amp;B430&amp;", te recuerdo que tu cuota de S/ "&amp;H430&amp;IF(E430&lt;TODAY()," vencio el "," vence el ")&amp;TEXT(E430,"dd/mm")&amp;". Gracias!"," ","%20"),"WhatsApp"))</f>
        <v/>
      </c>
    </row>
    <row r="431">
      <c r="A431" s="14" t="n"/>
      <c r="B431" s="16">
        <f>IF($A431="","",INDEX('Préstamos'!$B$2:$B$101,MATCH($A431,'Préstamos'!$A$2:$A$101,0)))</f>
        <v/>
      </c>
      <c r="C431" s="14" t="n"/>
      <c r="D431" s="14" t="n"/>
      <c r="E431" s="33" t="n"/>
      <c r="F431" s="29">
        <f>IF($A431="","",IF(D431="Solo interés",0,IF(AND(D431&lt;&gt;"Solo interés",C431=INDEX('Préstamos'!$G$2:$G$101,MATCH($A431,'Préstamos'!$A$2:$A$101,0))),INDEX('Préstamos'!$D$2:$D$101,MATCH($A431,'Préstamos'!$A$2:$A$101,0))-INDEX('Préstamos'!$J$2:$J$101,MATCH($A431,'Préstamos'!$A$2:$A$101,0))*(INDEX('Préstamos'!$G$2:$G$101,MATCH($A431,'Préstamos'!$A$2:$A$101,0))-1),INDEX('Préstamos'!$J$2:$J$101,MATCH($A431,'Préstamos'!$A$2:$A$101,0)))))</f>
        <v/>
      </c>
      <c r="G431" s="29">
        <f>IF($A431="","",IF(AND(D431&lt;&gt;"Solo interés",C431=INDEX('Préstamos'!$G$2:$G$101,MATCH($A431,'Préstamos'!$A$2:$A$101,0))),INDEX('Préstamos'!$I$2:$I$101,MATCH($A431,'Préstamos'!$A$2:$A$101,0))-INDEX('Préstamos'!$K$2:$K$101,MATCH($A431,'Préstamos'!$A$2:$A$101,0))*(INDEX('Préstamos'!$G$2:$G$101,MATCH($A431,'Préstamos'!$A$2:$A$101,0))-1),INDEX('Préstamos'!$K$2:$K$101,MATCH($A431,'Préstamos'!$A$2:$A$101,0))))</f>
        <v/>
      </c>
      <c r="H431" s="29">
        <f>IF($A431="","",F431+G431)</f>
        <v/>
      </c>
      <c r="I431" s="14" t="n"/>
      <c r="J431" s="33" t="n"/>
      <c r="K431" s="16">
        <f>IF(OR($A431="",I431="Pagado"),"",MAX(0,TODAY()-E431))</f>
        <v/>
      </c>
      <c r="L431" s="16">
        <f>IF($A431="","",IF(I431="Pagado","Pagado",IF(E431&lt;TODAY(),"Atrasado",IF(E431&lt;=EOMONTH(TODAY(),0),"Este mes","Pendiente"))))</f>
        <v/>
      </c>
      <c r="M431" s="20">
        <f>IF(OR($A431="",I431="Pagado"),"",HYPERLINK("https://wa.me/"&amp;IF(INDEX('Préstamos'!$C$2:$C$101,MATCH($A431,'Préstamos'!$A$2:$A$101,0))="","","51"&amp;SUBSTITUTE(INDEX('Préstamos'!$C$2:$C$101,MATCH($A431,'Préstamos'!$A$2:$A$101,0))," ",""))&amp;"?text="&amp;SUBSTITUTE("Hola "&amp;B431&amp;", te recuerdo que tu cuota de S/ "&amp;H431&amp;IF(E431&lt;TODAY()," vencio el "," vence el ")&amp;TEXT(E431,"dd/mm")&amp;". Gracias!"," ","%20"),"WhatsApp"))</f>
        <v/>
      </c>
    </row>
    <row r="432">
      <c r="A432" s="14" t="n"/>
      <c r="B432" s="16">
        <f>IF($A432="","",INDEX('Préstamos'!$B$2:$B$101,MATCH($A432,'Préstamos'!$A$2:$A$101,0)))</f>
        <v/>
      </c>
      <c r="C432" s="14" t="n"/>
      <c r="D432" s="14" t="n"/>
      <c r="E432" s="33" t="n"/>
      <c r="F432" s="29">
        <f>IF($A432="","",IF(D432="Solo interés",0,IF(AND(D432&lt;&gt;"Solo interés",C432=INDEX('Préstamos'!$G$2:$G$101,MATCH($A432,'Préstamos'!$A$2:$A$101,0))),INDEX('Préstamos'!$D$2:$D$101,MATCH($A432,'Préstamos'!$A$2:$A$101,0))-INDEX('Préstamos'!$J$2:$J$101,MATCH($A432,'Préstamos'!$A$2:$A$101,0))*(INDEX('Préstamos'!$G$2:$G$101,MATCH($A432,'Préstamos'!$A$2:$A$101,0))-1),INDEX('Préstamos'!$J$2:$J$101,MATCH($A432,'Préstamos'!$A$2:$A$101,0)))))</f>
        <v/>
      </c>
      <c r="G432" s="29">
        <f>IF($A432="","",IF(AND(D432&lt;&gt;"Solo interés",C432=INDEX('Préstamos'!$G$2:$G$101,MATCH($A432,'Préstamos'!$A$2:$A$101,0))),INDEX('Préstamos'!$I$2:$I$101,MATCH($A432,'Préstamos'!$A$2:$A$101,0))-INDEX('Préstamos'!$K$2:$K$101,MATCH($A432,'Préstamos'!$A$2:$A$101,0))*(INDEX('Préstamos'!$G$2:$G$101,MATCH($A432,'Préstamos'!$A$2:$A$101,0))-1),INDEX('Préstamos'!$K$2:$K$101,MATCH($A432,'Préstamos'!$A$2:$A$101,0))))</f>
        <v/>
      </c>
      <c r="H432" s="29">
        <f>IF($A432="","",F432+G432)</f>
        <v/>
      </c>
      <c r="I432" s="14" t="n"/>
      <c r="J432" s="33" t="n"/>
      <c r="K432" s="16">
        <f>IF(OR($A432="",I432="Pagado"),"",MAX(0,TODAY()-E432))</f>
        <v/>
      </c>
      <c r="L432" s="16">
        <f>IF($A432="","",IF(I432="Pagado","Pagado",IF(E432&lt;TODAY(),"Atrasado",IF(E432&lt;=EOMONTH(TODAY(),0),"Este mes","Pendiente"))))</f>
        <v/>
      </c>
      <c r="M432" s="20">
        <f>IF(OR($A432="",I432="Pagado"),"",HYPERLINK("https://wa.me/"&amp;IF(INDEX('Préstamos'!$C$2:$C$101,MATCH($A432,'Préstamos'!$A$2:$A$101,0))="","","51"&amp;SUBSTITUTE(INDEX('Préstamos'!$C$2:$C$101,MATCH($A432,'Préstamos'!$A$2:$A$101,0))," ",""))&amp;"?text="&amp;SUBSTITUTE("Hola "&amp;B432&amp;", te recuerdo que tu cuota de S/ "&amp;H432&amp;IF(E432&lt;TODAY()," vencio el "," vence el ")&amp;TEXT(E432,"dd/mm")&amp;". Gracias!"," ","%20"),"WhatsApp"))</f>
        <v/>
      </c>
    </row>
    <row r="433">
      <c r="A433" s="14" t="n"/>
      <c r="B433" s="16">
        <f>IF($A433="","",INDEX('Préstamos'!$B$2:$B$101,MATCH($A433,'Préstamos'!$A$2:$A$101,0)))</f>
        <v/>
      </c>
      <c r="C433" s="14" t="n"/>
      <c r="D433" s="14" t="n"/>
      <c r="E433" s="33" t="n"/>
      <c r="F433" s="29">
        <f>IF($A433="","",IF(D433="Solo interés",0,IF(AND(D433&lt;&gt;"Solo interés",C433=INDEX('Préstamos'!$G$2:$G$101,MATCH($A433,'Préstamos'!$A$2:$A$101,0))),INDEX('Préstamos'!$D$2:$D$101,MATCH($A433,'Préstamos'!$A$2:$A$101,0))-INDEX('Préstamos'!$J$2:$J$101,MATCH($A433,'Préstamos'!$A$2:$A$101,0))*(INDEX('Préstamos'!$G$2:$G$101,MATCH($A433,'Préstamos'!$A$2:$A$101,0))-1),INDEX('Préstamos'!$J$2:$J$101,MATCH($A433,'Préstamos'!$A$2:$A$101,0)))))</f>
        <v/>
      </c>
      <c r="G433" s="29">
        <f>IF($A433="","",IF(AND(D433&lt;&gt;"Solo interés",C433=INDEX('Préstamos'!$G$2:$G$101,MATCH($A433,'Préstamos'!$A$2:$A$101,0))),INDEX('Préstamos'!$I$2:$I$101,MATCH($A433,'Préstamos'!$A$2:$A$101,0))-INDEX('Préstamos'!$K$2:$K$101,MATCH($A433,'Préstamos'!$A$2:$A$101,0))*(INDEX('Préstamos'!$G$2:$G$101,MATCH($A433,'Préstamos'!$A$2:$A$101,0))-1),INDEX('Préstamos'!$K$2:$K$101,MATCH($A433,'Préstamos'!$A$2:$A$101,0))))</f>
        <v/>
      </c>
      <c r="H433" s="29">
        <f>IF($A433="","",F433+G433)</f>
        <v/>
      </c>
      <c r="I433" s="14" t="n"/>
      <c r="J433" s="33" t="n"/>
      <c r="K433" s="16">
        <f>IF(OR($A433="",I433="Pagado"),"",MAX(0,TODAY()-E433))</f>
        <v/>
      </c>
      <c r="L433" s="16">
        <f>IF($A433="","",IF(I433="Pagado","Pagado",IF(E433&lt;TODAY(),"Atrasado",IF(E433&lt;=EOMONTH(TODAY(),0),"Este mes","Pendiente"))))</f>
        <v/>
      </c>
      <c r="M433" s="20">
        <f>IF(OR($A433="",I433="Pagado"),"",HYPERLINK("https://wa.me/"&amp;IF(INDEX('Préstamos'!$C$2:$C$101,MATCH($A433,'Préstamos'!$A$2:$A$101,0))="","","51"&amp;SUBSTITUTE(INDEX('Préstamos'!$C$2:$C$101,MATCH($A433,'Préstamos'!$A$2:$A$101,0))," ",""))&amp;"?text="&amp;SUBSTITUTE("Hola "&amp;B433&amp;", te recuerdo que tu cuota de S/ "&amp;H433&amp;IF(E433&lt;TODAY()," vencio el "," vence el ")&amp;TEXT(E433,"dd/mm")&amp;". Gracias!"," ","%20"),"WhatsApp"))</f>
        <v/>
      </c>
    </row>
    <row r="434">
      <c r="A434" s="14" t="n"/>
      <c r="B434" s="16">
        <f>IF($A434="","",INDEX('Préstamos'!$B$2:$B$101,MATCH($A434,'Préstamos'!$A$2:$A$101,0)))</f>
        <v/>
      </c>
      <c r="C434" s="14" t="n"/>
      <c r="D434" s="14" t="n"/>
      <c r="E434" s="33" t="n"/>
      <c r="F434" s="29">
        <f>IF($A434="","",IF(D434="Solo interés",0,IF(AND(D434&lt;&gt;"Solo interés",C434=INDEX('Préstamos'!$G$2:$G$101,MATCH($A434,'Préstamos'!$A$2:$A$101,0))),INDEX('Préstamos'!$D$2:$D$101,MATCH($A434,'Préstamos'!$A$2:$A$101,0))-INDEX('Préstamos'!$J$2:$J$101,MATCH($A434,'Préstamos'!$A$2:$A$101,0))*(INDEX('Préstamos'!$G$2:$G$101,MATCH($A434,'Préstamos'!$A$2:$A$101,0))-1),INDEX('Préstamos'!$J$2:$J$101,MATCH($A434,'Préstamos'!$A$2:$A$101,0)))))</f>
        <v/>
      </c>
      <c r="G434" s="29">
        <f>IF($A434="","",IF(AND(D434&lt;&gt;"Solo interés",C434=INDEX('Préstamos'!$G$2:$G$101,MATCH($A434,'Préstamos'!$A$2:$A$101,0))),INDEX('Préstamos'!$I$2:$I$101,MATCH($A434,'Préstamos'!$A$2:$A$101,0))-INDEX('Préstamos'!$K$2:$K$101,MATCH($A434,'Préstamos'!$A$2:$A$101,0))*(INDEX('Préstamos'!$G$2:$G$101,MATCH($A434,'Préstamos'!$A$2:$A$101,0))-1),INDEX('Préstamos'!$K$2:$K$101,MATCH($A434,'Préstamos'!$A$2:$A$101,0))))</f>
        <v/>
      </c>
      <c r="H434" s="29">
        <f>IF($A434="","",F434+G434)</f>
        <v/>
      </c>
      <c r="I434" s="14" t="n"/>
      <c r="J434" s="33" t="n"/>
      <c r="K434" s="16">
        <f>IF(OR($A434="",I434="Pagado"),"",MAX(0,TODAY()-E434))</f>
        <v/>
      </c>
      <c r="L434" s="16">
        <f>IF($A434="","",IF(I434="Pagado","Pagado",IF(E434&lt;TODAY(),"Atrasado",IF(E434&lt;=EOMONTH(TODAY(),0),"Este mes","Pendiente"))))</f>
        <v/>
      </c>
      <c r="M434" s="20">
        <f>IF(OR($A434="",I434="Pagado"),"",HYPERLINK("https://wa.me/"&amp;IF(INDEX('Préstamos'!$C$2:$C$101,MATCH($A434,'Préstamos'!$A$2:$A$101,0))="","","51"&amp;SUBSTITUTE(INDEX('Préstamos'!$C$2:$C$101,MATCH($A434,'Préstamos'!$A$2:$A$101,0))," ",""))&amp;"?text="&amp;SUBSTITUTE("Hola "&amp;B434&amp;", te recuerdo que tu cuota de S/ "&amp;H434&amp;IF(E434&lt;TODAY()," vencio el "," vence el ")&amp;TEXT(E434,"dd/mm")&amp;". Gracias!"," ","%20"),"WhatsApp"))</f>
        <v/>
      </c>
    </row>
    <row r="435">
      <c r="A435" s="14" t="n"/>
      <c r="B435" s="16">
        <f>IF($A435="","",INDEX('Préstamos'!$B$2:$B$101,MATCH($A435,'Préstamos'!$A$2:$A$101,0)))</f>
        <v/>
      </c>
      <c r="C435" s="14" t="n"/>
      <c r="D435" s="14" t="n"/>
      <c r="E435" s="33" t="n"/>
      <c r="F435" s="29">
        <f>IF($A435="","",IF(D435="Solo interés",0,IF(AND(D435&lt;&gt;"Solo interés",C435=INDEX('Préstamos'!$G$2:$G$101,MATCH($A435,'Préstamos'!$A$2:$A$101,0))),INDEX('Préstamos'!$D$2:$D$101,MATCH($A435,'Préstamos'!$A$2:$A$101,0))-INDEX('Préstamos'!$J$2:$J$101,MATCH($A435,'Préstamos'!$A$2:$A$101,0))*(INDEX('Préstamos'!$G$2:$G$101,MATCH($A435,'Préstamos'!$A$2:$A$101,0))-1),INDEX('Préstamos'!$J$2:$J$101,MATCH($A435,'Préstamos'!$A$2:$A$101,0)))))</f>
        <v/>
      </c>
      <c r="G435" s="29">
        <f>IF($A435="","",IF(AND(D435&lt;&gt;"Solo interés",C435=INDEX('Préstamos'!$G$2:$G$101,MATCH($A435,'Préstamos'!$A$2:$A$101,0))),INDEX('Préstamos'!$I$2:$I$101,MATCH($A435,'Préstamos'!$A$2:$A$101,0))-INDEX('Préstamos'!$K$2:$K$101,MATCH($A435,'Préstamos'!$A$2:$A$101,0))*(INDEX('Préstamos'!$G$2:$G$101,MATCH($A435,'Préstamos'!$A$2:$A$101,0))-1),INDEX('Préstamos'!$K$2:$K$101,MATCH($A435,'Préstamos'!$A$2:$A$101,0))))</f>
        <v/>
      </c>
      <c r="H435" s="29">
        <f>IF($A435="","",F435+G435)</f>
        <v/>
      </c>
      <c r="I435" s="14" t="n"/>
      <c r="J435" s="33" t="n"/>
      <c r="K435" s="16">
        <f>IF(OR($A435="",I435="Pagado"),"",MAX(0,TODAY()-E435))</f>
        <v/>
      </c>
      <c r="L435" s="16">
        <f>IF($A435="","",IF(I435="Pagado","Pagado",IF(E435&lt;TODAY(),"Atrasado",IF(E435&lt;=EOMONTH(TODAY(),0),"Este mes","Pendiente"))))</f>
        <v/>
      </c>
      <c r="M435" s="20">
        <f>IF(OR($A435="",I435="Pagado"),"",HYPERLINK("https://wa.me/"&amp;IF(INDEX('Préstamos'!$C$2:$C$101,MATCH($A435,'Préstamos'!$A$2:$A$101,0))="","","51"&amp;SUBSTITUTE(INDEX('Préstamos'!$C$2:$C$101,MATCH($A435,'Préstamos'!$A$2:$A$101,0))," ",""))&amp;"?text="&amp;SUBSTITUTE("Hola "&amp;B435&amp;", te recuerdo que tu cuota de S/ "&amp;H435&amp;IF(E435&lt;TODAY()," vencio el "," vence el ")&amp;TEXT(E435,"dd/mm")&amp;". Gracias!"," ","%20"),"WhatsApp"))</f>
        <v/>
      </c>
    </row>
    <row r="436">
      <c r="A436" s="14" t="n"/>
      <c r="B436" s="16">
        <f>IF($A436="","",INDEX('Préstamos'!$B$2:$B$101,MATCH($A436,'Préstamos'!$A$2:$A$101,0)))</f>
        <v/>
      </c>
      <c r="C436" s="14" t="n"/>
      <c r="D436" s="14" t="n"/>
      <c r="E436" s="33" t="n"/>
      <c r="F436" s="29">
        <f>IF($A436="","",IF(D436="Solo interés",0,IF(AND(D436&lt;&gt;"Solo interés",C436=INDEX('Préstamos'!$G$2:$G$101,MATCH($A436,'Préstamos'!$A$2:$A$101,0))),INDEX('Préstamos'!$D$2:$D$101,MATCH($A436,'Préstamos'!$A$2:$A$101,0))-INDEX('Préstamos'!$J$2:$J$101,MATCH($A436,'Préstamos'!$A$2:$A$101,0))*(INDEX('Préstamos'!$G$2:$G$101,MATCH($A436,'Préstamos'!$A$2:$A$101,0))-1),INDEX('Préstamos'!$J$2:$J$101,MATCH($A436,'Préstamos'!$A$2:$A$101,0)))))</f>
        <v/>
      </c>
      <c r="G436" s="29">
        <f>IF($A436="","",IF(AND(D436&lt;&gt;"Solo interés",C436=INDEX('Préstamos'!$G$2:$G$101,MATCH($A436,'Préstamos'!$A$2:$A$101,0))),INDEX('Préstamos'!$I$2:$I$101,MATCH($A436,'Préstamos'!$A$2:$A$101,0))-INDEX('Préstamos'!$K$2:$K$101,MATCH($A436,'Préstamos'!$A$2:$A$101,0))*(INDEX('Préstamos'!$G$2:$G$101,MATCH($A436,'Préstamos'!$A$2:$A$101,0))-1),INDEX('Préstamos'!$K$2:$K$101,MATCH($A436,'Préstamos'!$A$2:$A$101,0))))</f>
        <v/>
      </c>
      <c r="H436" s="29">
        <f>IF($A436="","",F436+G436)</f>
        <v/>
      </c>
      <c r="I436" s="14" t="n"/>
      <c r="J436" s="33" t="n"/>
      <c r="K436" s="16">
        <f>IF(OR($A436="",I436="Pagado"),"",MAX(0,TODAY()-E436))</f>
        <v/>
      </c>
      <c r="L436" s="16">
        <f>IF($A436="","",IF(I436="Pagado","Pagado",IF(E436&lt;TODAY(),"Atrasado",IF(E436&lt;=EOMONTH(TODAY(),0),"Este mes","Pendiente"))))</f>
        <v/>
      </c>
      <c r="M436" s="20">
        <f>IF(OR($A436="",I436="Pagado"),"",HYPERLINK("https://wa.me/"&amp;IF(INDEX('Préstamos'!$C$2:$C$101,MATCH($A436,'Préstamos'!$A$2:$A$101,0))="","","51"&amp;SUBSTITUTE(INDEX('Préstamos'!$C$2:$C$101,MATCH($A436,'Préstamos'!$A$2:$A$101,0))," ",""))&amp;"?text="&amp;SUBSTITUTE("Hola "&amp;B436&amp;", te recuerdo que tu cuota de S/ "&amp;H436&amp;IF(E436&lt;TODAY()," vencio el "," vence el ")&amp;TEXT(E436,"dd/mm")&amp;". Gracias!"," ","%20"),"WhatsApp"))</f>
        <v/>
      </c>
    </row>
    <row r="437">
      <c r="A437" s="14" t="n"/>
      <c r="B437" s="16">
        <f>IF($A437="","",INDEX('Préstamos'!$B$2:$B$101,MATCH($A437,'Préstamos'!$A$2:$A$101,0)))</f>
        <v/>
      </c>
      <c r="C437" s="14" t="n"/>
      <c r="D437" s="14" t="n"/>
      <c r="E437" s="33" t="n"/>
      <c r="F437" s="29">
        <f>IF($A437="","",IF(D437="Solo interés",0,IF(AND(D437&lt;&gt;"Solo interés",C437=INDEX('Préstamos'!$G$2:$G$101,MATCH($A437,'Préstamos'!$A$2:$A$101,0))),INDEX('Préstamos'!$D$2:$D$101,MATCH($A437,'Préstamos'!$A$2:$A$101,0))-INDEX('Préstamos'!$J$2:$J$101,MATCH($A437,'Préstamos'!$A$2:$A$101,0))*(INDEX('Préstamos'!$G$2:$G$101,MATCH($A437,'Préstamos'!$A$2:$A$101,0))-1),INDEX('Préstamos'!$J$2:$J$101,MATCH($A437,'Préstamos'!$A$2:$A$101,0)))))</f>
        <v/>
      </c>
      <c r="G437" s="29">
        <f>IF($A437="","",IF(AND(D437&lt;&gt;"Solo interés",C437=INDEX('Préstamos'!$G$2:$G$101,MATCH($A437,'Préstamos'!$A$2:$A$101,0))),INDEX('Préstamos'!$I$2:$I$101,MATCH($A437,'Préstamos'!$A$2:$A$101,0))-INDEX('Préstamos'!$K$2:$K$101,MATCH($A437,'Préstamos'!$A$2:$A$101,0))*(INDEX('Préstamos'!$G$2:$G$101,MATCH($A437,'Préstamos'!$A$2:$A$101,0))-1),INDEX('Préstamos'!$K$2:$K$101,MATCH($A437,'Préstamos'!$A$2:$A$101,0))))</f>
        <v/>
      </c>
      <c r="H437" s="29">
        <f>IF($A437="","",F437+G437)</f>
        <v/>
      </c>
      <c r="I437" s="14" t="n"/>
      <c r="J437" s="33" t="n"/>
      <c r="K437" s="16">
        <f>IF(OR($A437="",I437="Pagado"),"",MAX(0,TODAY()-E437))</f>
        <v/>
      </c>
      <c r="L437" s="16">
        <f>IF($A437="","",IF(I437="Pagado","Pagado",IF(E437&lt;TODAY(),"Atrasado",IF(E437&lt;=EOMONTH(TODAY(),0),"Este mes","Pendiente"))))</f>
        <v/>
      </c>
      <c r="M437" s="20">
        <f>IF(OR($A437="",I437="Pagado"),"",HYPERLINK("https://wa.me/"&amp;IF(INDEX('Préstamos'!$C$2:$C$101,MATCH($A437,'Préstamos'!$A$2:$A$101,0))="","","51"&amp;SUBSTITUTE(INDEX('Préstamos'!$C$2:$C$101,MATCH($A437,'Préstamos'!$A$2:$A$101,0))," ",""))&amp;"?text="&amp;SUBSTITUTE("Hola "&amp;B437&amp;", te recuerdo que tu cuota de S/ "&amp;H437&amp;IF(E437&lt;TODAY()," vencio el "," vence el ")&amp;TEXT(E437,"dd/mm")&amp;". Gracias!"," ","%20"),"WhatsApp"))</f>
        <v/>
      </c>
    </row>
    <row r="438">
      <c r="A438" s="14" t="n"/>
      <c r="B438" s="16">
        <f>IF($A438="","",INDEX('Préstamos'!$B$2:$B$101,MATCH($A438,'Préstamos'!$A$2:$A$101,0)))</f>
        <v/>
      </c>
      <c r="C438" s="14" t="n"/>
      <c r="D438" s="14" t="n"/>
      <c r="E438" s="33" t="n"/>
      <c r="F438" s="29">
        <f>IF($A438="","",IF(D438="Solo interés",0,IF(AND(D438&lt;&gt;"Solo interés",C438=INDEX('Préstamos'!$G$2:$G$101,MATCH($A438,'Préstamos'!$A$2:$A$101,0))),INDEX('Préstamos'!$D$2:$D$101,MATCH($A438,'Préstamos'!$A$2:$A$101,0))-INDEX('Préstamos'!$J$2:$J$101,MATCH($A438,'Préstamos'!$A$2:$A$101,0))*(INDEX('Préstamos'!$G$2:$G$101,MATCH($A438,'Préstamos'!$A$2:$A$101,0))-1),INDEX('Préstamos'!$J$2:$J$101,MATCH($A438,'Préstamos'!$A$2:$A$101,0)))))</f>
        <v/>
      </c>
      <c r="G438" s="29">
        <f>IF($A438="","",IF(AND(D438&lt;&gt;"Solo interés",C438=INDEX('Préstamos'!$G$2:$G$101,MATCH($A438,'Préstamos'!$A$2:$A$101,0))),INDEX('Préstamos'!$I$2:$I$101,MATCH($A438,'Préstamos'!$A$2:$A$101,0))-INDEX('Préstamos'!$K$2:$K$101,MATCH($A438,'Préstamos'!$A$2:$A$101,0))*(INDEX('Préstamos'!$G$2:$G$101,MATCH($A438,'Préstamos'!$A$2:$A$101,0))-1),INDEX('Préstamos'!$K$2:$K$101,MATCH($A438,'Préstamos'!$A$2:$A$101,0))))</f>
        <v/>
      </c>
      <c r="H438" s="29">
        <f>IF($A438="","",F438+G438)</f>
        <v/>
      </c>
      <c r="I438" s="14" t="n"/>
      <c r="J438" s="33" t="n"/>
      <c r="K438" s="16">
        <f>IF(OR($A438="",I438="Pagado"),"",MAX(0,TODAY()-E438))</f>
        <v/>
      </c>
      <c r="L438" s="16">
        <f>IF($A438="","",IF(I438="Pagado","Pagado",IF(E438&lt;TODAY(),"Atrasado",IF(E438&lt;=EOMONTH(TODAY(),0),"Este mes","Pendiente"))))</f>
        <v/>
      </c>
      <c r="M438" s="20">
        <f>IF(OR($A438="",I438="Pagado"),"",HYPERLINK("https://wa.me/"&amp;IF(INDEX('Préstamos'!$C$2:$C$101,MATCH($A438,'Préstamos'!$A$2:$A$101,0))="","","51"&amp;SUBSTITUTE(INDEX('Préstamos'!$C$2:$C$101,MATCH($A438,'Préstamos'!$A$2:$A$101,0))," ",""))&amp;"?text="&amp;SUBSTITUTE("Hola "&amp;B438&amp;", te recuerdo que tu cuota de S/ "&amp;H438&amp;IF(E438&lt;TODAY()," vencio el "," vence el ")&amp;TEXT(E438,"dd/mm")&amp;". Gracias!"," ","%20"),"WhatsApp"))</f>
        <v/>
      </c>
    </row>
    <row r="439">
      <c r="A439" s="14" t="n"/>
      <c r="B439" s="16">
        <f>IF($A439="","",INDEX('Préstamos'!$B$2:$B$101,MATCH($A439,'Préstamos'!$A$2:$A$101,0)))</f>
        <v/>
      </c>
      <c r="C439" s="14" t="n"/>
      <c r="D439" s="14" t="n"/>
      <c r="E439" s="33" t="n"/>
      <c r="F439" s="29">
        <f>IF($A439="","",IF(D439="Solo interés",0,IF(AND(D439&lt;&gt;"Solo interés",C439=INDEX('Préstamos'!$G$2:$G$101,MATCH($A439,'Préstamos'!$A$2:$A$101,0))),INDEX('Préstamos'!$D$2:$D$101,MATCH($A439,'Préstamos'!$A$2:$A$101,0))-INDEX('Préstamos'!$J$2:$J$101,MATCH($A439,'Préstamos'!$A$2:$A$101,0))*(INDEX('Préstamos'!$G$2:$G$101,MATCH($A439,'Préstamos'!$A$2:$A$101,0))-1),INDEX('Préstamos'!$J$2:$J$101,MATCH($A439,'Préstamos'!$A$2:$A$101,0)))))</f>
        <v/>
      </c>
      <c r="G439" s="29">
        <f>IF($A439="","",IF(AND(D439&lt;&gt;"Solo interés",C439=INDEX('Préstamos'!$G$2:$G$101,MATCH($A439,'Préstamos'!$A$2:$A$101,0))),INDEX('Préstamos'!$I$2:$I$101,MATCH($A439,'Préstamos'!$A$2:$A$101,0))-INDEX('Préstamos'!$K$2:$K$101,MATCH($A439,'Préstamos'!$A$2:$A$101,0))*(INDEX('Préstamos'!$G$2:$G$101,MATCH($A439,'Préstamos'!$A$2:$A$101,0))-1),INDEX('Préstamos'!$K$2:$K$101,MATCH($A439,'Préstamos'!$A$2:$A$101,0))))</f>
        <v/>
      </c>
      <c r="H439" s="29">
        <f>IF($A439="","",F439+G439)</f>
        <v/>
      </c>
      <c r="I439" s="14" t="n"/>
      <c r="J439" s="33" t="n"/>
      <c r="K439" s="16">
        <f>IF(OR($A439="",I439="Pagado"),"",MAX(0,TODAY()-E439))</f>
        <v/>
      </c>
      <c r="L439" s="16">
        <f>IF($A439="","",IF(I439="Pagado","Pagado",IF(E439&lt;TODAY(),"Atrasado",IF(E439&lt;=EOMONTH(TODAY(),0),"Este mes","Pendiente"))))</f>
        <v/>
      </c>
      <c r="M439" s="20">
        <f>IF(OR($A439="",I439="Pagado"),"",HYPERLINK("https://wa.me/"&amp;IF(INDEX('Préstamos'!$C$2:$C$101,MATCH($A439,'Préstamos'!$A$2:$A$101,0))="","","51"&amp;SUBSTITUTE(INDEX('Préstamos'!$C$2:$C$101,MATCH($A439,'Préstamos'!$A$2:$A$101,0))," ",""))&amp;"?text="&amp;SUBSTITUTE("Hola "&amp;B439&amp;", te recuerdo que tu cuota de S/ "&amp;H439&amp;IF(E439&lt;TODAY()," vencio el "," vence el ")&amp;TEXT(E439,"dd/mm")&amp;". Gracias!"," ","%20"),"WhatsApp"))</f>
        <v/>
      </c>
    </row>
    <row r="440">
      <c r="A440" s="14" t="n"/>
      <c r="B440" s="16">
        <f>IF($A440="","",INDEX('Préstamos'!$B$2:$B$101,MATCH($A440,'Préstamos'!$A$2:$A$101,0)))</f>
        <v/>
      </c>
      <c r="C440" s="14" t="n"/>
      <c r="D440" s="14" t="n"/>
      <c r="E440" s="33" t="n"/>
      <c r="F440" s="29">
        <f>IF($A440="","",IF(D440="Solo interés",0,IF(AND(D440&lt;&gt;"Solo interés",C440=INDEX('Préstamos'!$G$2:$G$101,MATCH($A440,'Préstamos'!$A$2:$A$101,0))),INDEX('Préstamos'!$D$2:$D$101,MATCH($A440,'Préstamos'!$A$2:$A$101,0))-INDEX('Préstamos'!$J$2:$J$101,MATCH($A440,'Préstamos'!$A$2:$A$101,0))*(INDEX('Préstamos'!$G$2:$G$101,MATCH($A440,'Préstamos'!$A$2:$A$101,0))-1),INDEX('Préstamos'!$J$2:$J$101,MATCH($A440,'Préstamos'!$A$2:$A$101,0)))))</f>
        <v/>
      </c>
      <c r="G440" s="29">
        <f>IF($A440="","",IF(AND(D440&lt;&gt;"Solo interés",C440=INDEX('Préstamos'!$G$2:$G$101,MATCH($A440,'Préstamos'!$A$2:$A$101,0))),INDEX('Préstamos'!$I$2:$I$101,MATCH($A440,'Préstamos'!$A$2:$A$101,0))-INDEX('Préstamos'!$K$2:$K$101,MATCH($A440,'Préstamos'!$A$2:$A$101,0))*(INDEX('Préstamos'!$G$2:$G$101,MATCH($A440,'Préstamos'!$A$2:$A$101,0))-1),INDEX('Préstamos'!$K$2:$K$101,MATCH($A440,'Préstamos'!$A$2:$A$101,0))))</f>
        <v/>
      </c>
      <c r="H440" s="29">
        <f>IF($A440="","",F440+G440)</f>
        <v/>
      </c>
      <c r="I440" s="14" t="n"/>
      <c r="J440" s="33" t="n"/>
      <c r="K440" s="16">
        <f>IF(OR($A440="",I440="Pagado"),"",MAX(0,TODAY()-E440))</f>
        <v/>
      </c>
      <c r="L440" s="16">
        <f>IF($A440="","",IF(I440="Pagado","Pagado",IF(E440&lt;TODAY(),"Atrasado",IF(E440&lt;=EOMONTH(TODAY(),0),"Este mes","Pendiente"))))</f>
        <v/>
      </c>
      <c r="M440" s="20">
        <f>IF(OR($A440="",I440="Pagado"),"",HYPERLINK("https://wa.me/"&amp;IF(INDEX('Préstamos'!$C$2:$C$101,MATCH($A440,'Préstamos'!$A$2:$A$101,0))="","","51"&amp;SUBSTITUTE(INDEX('Préstamos'!$C$2:$C$101,MATCH($A440,'Préstamos'!$A$2:$A$101,0))," ",""))&amp;"?text="&amp;SUBSTITUTE("Hola "&amp;B440&amp;", te recuerdo que tu cuota de S/ "&amp;H440&amp;IF(E440&lt;TODAY()," vencio el "," vence el ")&amp;TEXT(E440,"dd/mm")&amp;". Gracias!"," ","%20"),"WhatsApp"))</f>
        <v/>
      </c>
    </row>
    <row r="441">
      <c r="A441" s="14" t="n"/>
      <c r="B441" s="16">
        <f>IF($A441="","",INDEX('Préstamos'!$B$2:$B$101,MATCH($A441,'Préstamos'!$A$2:$A$101,0)))</f>
        <v/>
      </c>
      <c r="C441" s="14" t="n"/>
      <c r="D441" s="14" t="n"/>
      <c r="E441" s="33" t="n"/>
      <c r="F441" s="29">
        <f>IF($A441="","",IF(D441="Solo interés",0,IF(AND(D441&lt;&gt;"Solo interés",C441=INDEX('Préstamos'!$G$2:$G$101,MATCH($A441,'Préstamos'!$A$2:$A$101,0))),INDEX('Préstamos'!$D$2:$D$101,MATCH($A441,'Préstamos'!$A$2:$A$101,0))-INDEX('Préstamos'!$J$2:$J$101,MATCH($A441,'Préstamos'!$A$2:$A$101,0))*(INDEX('Préstamos'!$G$2:$G$101,MATCH($A441,'Préstamos'!$A$2:$A$101,0))-1),INDEX('Préstamos'!$J$2:$J$101,MATCH($A441,'Préstamos'!$A$2:$A$101,0)))))</f>
        <v/>
      </c>
      <c r="G441" s="29">
        <f>IF($A441="","",IF(AND(D441&lt;&gt;"Solo interés",C441=INDEX('Préstamos'!$G$2:$G$101,MATCH($A441,'Préstamos'!$A$2:$A$101,0))),INDEX('Préstamos'!$I$2:$I$101,MATCH($A441,'Préstamos'!$A$2:$A$101,0))-INDEX('Préstamos'!$K$2:$K$101,MATCH($A441,'Préstamos'!$A$2:$A$101,0))*(INDEX('Préstamos'!$G$2:$G$101,MATCH($A441,'Préstamos'!$A$2:$A$101,0))-1),INDEX('Préstamos'!$K$2:$K$101,MATCH($A441,'Préstamos'!$A$2:$A$101,0))))</f>
        <v/>
      </c>
      <c r="H441" s="29">
        <f>IF($A441="","",F441+G441)</f>
        <v/>
      </c>
      <c r="I441" s="14" t="n"/>
      <c r="J441" s="33" t="n"/>
      <c r="K441" s="16">
        <f>IF(OR($A441="",I441="Pagado"),"",MAX(0,TODAY()-E441))</f>
        <v/>
      </c>
      <c r="L441" s="16">
        <f>IF($A441="","",IF(I441="Pagado","Pagado",IF(E441&lt;TODAY(),"Atrasado",IF(E441&lt;=EOMONTH(TODAY(),0),"Este mes","Pendiente"))))</f>
        <v/>
      </c>
      <c r="M441" s="20">
        <f>IF(OR($A441="",I441="Pagado"),"",HYPERLINK("https://wa.me/"&amp;IF(INDEX('Préstamos'!$C$2:$C$101,MATCH($A441,'Préstamos'!$A$2:$A$101,0))="","","51"&amp;SUBSTITUTE(INDEX('Préstamos'!$C$2:$C$101,MATCH($A441,'Préstamos'!$A$2:$A$101,0))," ",""))&amp;"?text="&amp;SUBSTITUTE("Hola "&amp;B441&amp;", te recuerdo que tu cuota de S/ "&amp;H441&amp;IF(E441&lt;TODAY()," vencio el "," vence el ")&amp;TEXT(E441,"dd/mm")&amp;". Gracias!"," ","%20"),"WhatsApp"))</f>
        <v/>
      </c>
    </row>
    <row r="442">
      <c r="A442" s="14" t="n"/>
      <c r="B442" s="16">
        <f>IF($A442="","",INDEX('Préstamos'!$B$2:$B$101,MATCH($A442,'Préstamos'!$A$2:$A$101,0)))</f>
        <v/>
      </c>
      <c r="C442" s="14" t="n"/>
      <c r="D442" s="14" t="n"/>
      <c r="E442" s="33" t="n"/>
      <c r="F442" s="29">
        <f>IF($A442="","",IF(D442="Solo interés",0,IF(AND(D442&lt;&gt;"Solo interés",C442=INDEX('Préstamos'!$G$2:$G$101,MATCH($A442,'Préstamos'!$A$2:$A$101,0))),INDEX('Préstamos'!$D$2:$D$101,MATCH($A442,'Préstamos'!$A$2:$A$101,0))-INDEX('Préstamos'!$J$2:$J$101,MATCH($A442,'Préstamos'!$A$2:$A$101,0))*(INDEX('Préstamos'!$G$2:$G$101,MATCH($A442,'Préstamos'!$A$2:$A$101,0))-1),INDEX('Préstamos'!$J$2:$J$101,MATCH($A442,'Préstamos'!$A$2:$A$101,0)))))</f>
        <v/>
      </c>
      <c r="G442" s="29">
        <f>IF($A442="","",IF(AND(D442&lt;&gt;"Solo interés",C442=INDEX('Préstamos'!$G$2:$G$101,MATCH($A442,'Préstamos'!$A$2:$A$101,0))),INDEX('Préstamos'!$I$2:$I$101,MATCH($A442,'Préstamos'!$A$2:$A$101,0))-INDEX('Préstamos'!$K$2:$K$101,MATCH($A442,'Préstamos'!$A$2:$A$101,0))*(INDEX('Préstamos'!$G$2:$G$101,MATCH($A442,'Préstamos'!$A$2:$A$101,0))-1),INDEX('Préstamos'!$K$2:$K$101,MATCH($A442,'Préstamos'!$A$2:$A$101,0))))</f>
        <v/>
      </c>
      <c r="H442" s="29">
        <f>IF($A442="","",F442+G442)</f>
        <v/>
      </c>
      <c r="I442" s="14" t="n"/>
      <c r="J442" s="33" t="n"/>
      <c r="K442" s="16">
        <f>IF(OR($A442="",I442="Pagado"),"",MAX(0,TODAY()-E442))</f>
        <v/>
      </c>
      <c r="L442" s="16">
        <f>IF($A442="","",IF(I442="Pagado","Pagado",IF(E442&lt;TODAY(),"Atrasado",IF(E442&lt;=EOMONTH(TODAY(),0),"Este mes","Pendiente"))))</f>
        <v/>
      </c>
      <c r="M442" s="20">
        <f>IF(OR($A442="",I442="Pagado"),"",HYPERLINK("https://wa.me/"&amp;IF(INDEX('Préstamos'!$C$2:$C$101,MATCH($A442,'Préstamos'!$A$2:$A$101,0))="","","51"&amp;SUBSTITUTE(INDEX('Préstamos'!$C$2:$C$101,MATCH($A442,'Préstamos'!$A$2:$A$101,0))," ",""))&amp;"?text="&amp;SUBSTITUTE("Hola "&amp;B442&amp;", te recuerdo que tu cuota de S/ "&amp;H442&amp;IF(E442&lt;TODAY()," vencio el "," vence el ")&amp;TEXT(E442,"dd/mm")&amp;". Gracias!"," ","%20"),"WhatsApp"))</f>
        <v/>
      </c>
    </row>
    <row r="443">
      <c r="A443" s="14" t="n"/>
      <c r="B443" s="16">
        <f>IF($A443="","",INDEX('Préstamos'!$B$2:$B$101,MATCH($A443,'Préstamos'!$A$2:$A$101,0)))</f>
        <v/>
      </c>
      <c r="C443" s="14" t="n"/>
      <c r="D443" s="14" t="n"/>
      <c r="E443" s="33" t="n"/>
      <c r="F443" s="29">
        <f>IF($A443="","",IF(D443="Solo interés",0,IF(AND(D443&lt;&gt;"Solo interés",C443=INDEX('Préstamos'!$G$2:$G$101,MATCH($A443,'Préstamos'!$A$2:$A$101,0))),INDEX('Préstamos'!$D$2:$D$101,MATCH($A443,'Préstamos'!$A$2:$A$101,0))-INDEX('Préstamos'!$J$2:$J$101,MATCH($A443,'Préstamos'!$A$2:$A$101,0))*(INDEX('Préstamos'!$G$2:$G$101,MATCH($A443,'Préstamos'!$A$2:$A$101,0))-1),INDEX('Préstamos'!$J$2:$J$101,MATCH($A443,'Préstamos'!$A$2:$A$101,0)))))</f>
        <v/>
      </c>
      <c r="G443" s="29">
        <f>IF($A443="","",IF(AND(D443&lt;&gt;"Solo interés",C443=INDEX('Préstamos'!$G$2:$G$101,MATCH($A443,'Préstamos'!$A$2:$A$101,0))),INDEX('Préstamos'!$I$2:$I$101,MATCH($A443,'Préstamos'!$A$2:$A$101,0))-INDEX('Préstamos'!$K$2:$K$101,MATCH($A443,'Préstamos'!$A$2:$A$101,0))*(INDEX('Préstamos'!$G$2:$G$101,MATCH($A443,'Préstamos'!$A$2:$A$101,0))-1),INDEX('Préstamos'!$K$2:$K$101,MATCH($A443,'Préstamos'!$A$2:$A$101,0))))</f>
        <v/>
      </c>
      <c r="H443" s="29">
        <f>IF($A443="","",F443+G443)</f>
        <v/>
      </c>
      <c r="I443" s="14" t="n"/>
      <c r="J443" s="33" t="n"/>
      <c r="K443" s="16">
        <f>IF(OR($A443="",I443="Pagado"),"",MAX(0,TODAY()-E443))</f>
        <v/>
      </c>
      <c r="L443" s="16">
        <f>IF($A443="","",IF(I443="Pagado","Pagado",IF(E443&lt;TODAY(),"Atrasado",IF(E443&lt;=EOMONTH(TODAY(),0),"Este mes","Pendiente"))))</f>
        <v/>
      </c>
      <c r="M443" s="20">
        <f>IF(OR($A443="",I443="Pagado"),"",HYPERLINK("https://wa.me/"&amp;IF(INDEX('Préstamos'!$C$2:$C$101,MATCH($A443,'Préstamos'!$A$2:$A$101,0))="","","51"&amp;SUBSTITUTE(INDEX('Préstamos'!$C$2:$C$101,MATCH($A443,'Préstamos'!$A$2:$A$101,0))," ",""))&amp;"?text="&amp;SUBSTITUTE("Hola "&amp;B443&amp;", te recuerdo que tu cuota de S/ "&amp;H443&amp;IF(E443&lt;TODAY()," vencio el "," vence el ")&amp;TEXT(E443,"dd/mm")&amp;". Gracias!"," ","%20"),"WhatsApp"))</f>
        <v/>
      </c>
    </row>
    <row r="444">
      <c r="A444" s="14" t="n"/>
      <c r="B444" s="16">
        <f>IF($A444="","",INDEX('Préstamos'!$B$2:$B$101,MATCH($A444,'Préstamos'!$A$2:$A$101,0)))</f>
        <v/>
      </c>
      <c r="C444" s="14" t="n"/>
      <c r="D444" s="14" t="n"/>
      <c r="E444" s="33" t="n"/>
      <c r="F444" s="29">
        <f>IF($A444="","",IF(D444="Solo interés",0,IF(AND(D444&lt;&gt;"Solo interés",C444=INDEX('Préstamos'!$G$2:$G$101,MATCH($A444,'Préstamos'!$A$2:$A$101,0))),INDEX('Préstamos'!$D$2:$D$101,MATCH($A444,'Préstamos'!$A$2:$A$101,0))-INDEX('Préstamos'!$J$2:$J$101,MATCH($A444,'Préstamos'!$A$2:$A$101,0))*(INDEX('Préstamos'!$G$2:$G$101,MATCH($A444,'Préstamos'!$A$2:$A$101,0))-1),INDEX('Préstamos'!$J$2:$J$101,MATCH($A444,'Préstamos'!$A$2:$A$101,0)))))</f>
        <v/>
      </c>
      <c r="G444" s="29">
        <f>IF($A444="","",IF(AND(D444&lt;&gt;"Solo interés",C444=INDEX('Préstamos'!$G$2:$G$101,MATCH($A444,'Préstamos'!$A$2:$A$101,0))),INDEX('Préstamos'!$I$2:$I$101,MATCH($A444,'Préstamos'!$A$2:$A$101,0))-INDEX('Préstamos'!$K$2:$K$101,MATCH($A444,'Préstamos'!$A$2:$A$101,0))*(INDEX('Préstamos'!$G$2:$G$101,MATCH($A444,'Préstamos'!$A$2:$A$101,0))-1),INDEX('Préstamos'!$K$2:$K$101,MATCH($A444,'Préstamos'!$A$2:$A$101,0))))</f>
        <v/>
      </c>
      <c r="H444" s="29">
        <f>IF($A444="","",F444+G444)</f>
        <v/>
      </c>
      <c r="I444" s="14" t="n"/>
      <c r="J444" s="33" t="n"/>
      <c r="K444" s="16">
        <f>IF(OR($A444="",I444="Pagado"),"",MAX(0,TODAY()-E444))</f>
        <v/>
      </c>
      <c r="L444" s="16">
        <f>IF($A444="","",IF(I444="Pagado","Pagado",IF(E444&lt;TODAY(),"Atrasado",IF(E444&lt;=EOMONTH(TODAY(),0),"Este mes","Pendiente"))))</f>
        <v/>
      </c>
      <c r="M444" s="20">
        <f>IF(OR($A444="",I444="Pagado"),"",HYPERLINK("https://wa.me/"&amp;IF(INDEX('Préstamos'!$C$2:$C$101,MATCH($A444,'Préstamos'!$A$2:$A$101,0))="","","51"&amp;SUBSTITUTE(INDEX('Préstamos'!$C$2:$C$101,MATCH($A444,'Préstamos'!$A$2:$A$101,0))," ",""))&amp;"?text="&amp;SUBSTITUTE("Hola "&amp;B444&amp;", te recuerdo que tu cuota de S/ "&amp;H444&amp;IF(E444&lt;TODAY()," vencio el "," vence el ")&amp;TEXT(E444,"dd/mm")&amp;". Gracias!"," ","%20"),"WhatsApp"))</f>
        <v/>
      </c>
    </row>
    <row r="445">
      <c r="A445" s="14" t="n"/>
      <c r="B445" s="16">
        <f>IF($A445="","",INDEX('Préstamos'!$B$2:$B$101,MATCH($A445,'Préstamos'!$A$2:$A$101,0)))</f>
        <v/>
      </c>
      <c r="C445" s="14" t="n"/>
      <c r="D445" s="14" t="n"/>
      <c r="E445" s="33" t="n"/>
      <c r="F445" s="29">
        <f>IF($A445="","",IF(D445="Solo interés",0,IF(AND(D445&lt;&gt;"Solo interés",C445=INDEX('Préstamos'!$G$2:$G$101,MATCH($A445,'Préstamos'!$A$2:$A$101,0))),INDEX('Préstamos'!$D$2:$D$101,MATCH($A445,'Préstamos'!$A$2:$A$101,0))-INDEX('Préstamos'!$J$2:$J$101,MATCH($A445,'Préstamos'!$A$2:$A$101,0))*(INDEX('Préstamos'!$G$2:$G$101,MATCH($A445,'Préstamos'!$A$2:$A$101,0))-1),INDEX('Préstamos'!$J$2:$J$101,MATCH($A445,'Préstamos'!$A$2:$A$101,0)))))</f>
        <v/>
      </c>
      <c r="G445" s="29">
        <f>IF($A445="","",IF(AND(D445&lt;&gt;"Solo interés",C445=INDEX('Préstamos'!$G$2:$G$101,MATCH($A445,'Préstamos'!$A$2:$A$101,0))),INDEX('Préstamos'!$I$2:$I$101,MATCH($A445,'Préstamos'!$A$2:$A$101,0))-INDEX('Préstamos'!$K$2:$K$101,MATCH($A445,'Préstamos'!$A$2:$A$101,0))*(INDEX('Préstamos'!$G$2:$G$101,MATCH($A445,'Préstamos'!$A$2:$A$101,0))-1),INDEX('Préstamos'!$K$2:$K$101,MATCH($A445,'Préstamos'!$A$2:$A$101,0))))</f>
        <v/>
      </c>
      <c r="H445" s="29">
        <f>IF($A445="","",F445+G445)</f>
        <v/>
      </c>
      <c r="I445" s="14" t="n"/>
      <c r="J445" s="33" t="n"/>
      <c r="K445" s="16">
        <f>IF(OR($A445="",I445="Pagado"),"",MAX(0,TODAY()-E445))</f>
        <v/>
      </c>
      <c r="L445" s="16">
        <f>IF($A445="","",IF(I445="Pagado","Pagado",IF(E445&lt;TODAY(),"Atrasado",IF(E445&lt;=EOMONTH(TODAY(),0),"Este mes","Pendiente"))))</f>
        <v/>
      </c>
      <c r="M445" s="20">
        <f>IF(OR($A445="",I445="Pagado"),"",HYPERLINK("https://wa.me/"&amp;IF(INDEX('Préstamos'!$C$2:$C$101,MATCH($A445,'Préstamos'!$A$2:$A$101,0))="","","51"&amp;SUBSTITUTE(INDEX('Préstamos'!$C$2:$C$101,MATCH($A445,'Préstamos'!$A$2:$A$101,0))," ",""))&amp;"?text="&amp;SUBSTITUTE("Hola "&amp;B445&amp;", te recuerdo que tu cuota de S/ "&amp;H445&amp;IF(E445&lt;TODAY()," vencio el "," vence el ")&amp;TEXT(E445,"dd/mm")&amp;". Gracias!"," ","%20"),"WhatsApp"))</f>
        <v/>
      </c>
    </row>
    <row r="446">
      <c r="A446" s="14" t="n"/>
      <c r="B446" s="16">
        <f>IF($A446="","",INDEX('Préstamos'!$B$2:$B$101,MATCH($A446,'Préstamos'!$A$2:$A$101,0)))</f>
        <v/>
      </c>
      <c r="C446" s="14" t="n"/>
      <c r="D446" s="14" t="n"/>
      <c r="E446" s="33" t="n"/>
      <c r="F446" s="29">
        <f>IF($A446="","",IF(D446="Solo interés",0,IF(AND(D446&lt;&gt;"Solo interés",C446=INDEX('Préstamos'!$G$2:$G$101,MATCH($A446,'Préstamos'!$A$2:$A$101,0))),INDEX('Préstamos'!$D$2:$D$101,MATCH($A446,'Préstamos'!$A$2:$A$101,0))-INDEX('Préstamos'!$J$2:$J$101,MATCH($A446,'Préstamos'!$A$2:$A$101,0))*(INDEX('Préstamos'!$G$2:$G$101,MATCH($A446,'Préstamos'!$A$2:$A$101,0))-1),INDEX('Préstamos'!$J$2:$J$101,MATCH($A446,'Préstamos'!$A$2:$A$101,0)))))</f>
        <v/>
      </c>
      <c r="G446" s="29">
        <f>IF($A446="","",IF(AND(D446&lt;&gt;"Solo interés",C446=INDEX('Préstamos'!$G$2:$G$101,MATCH($A446,'Préstamos'!$A$2:$A$101,0))),INDEX('Préstamos'!$I$2:$I$101,MATCH($A446,'Préstamos'!$A$2:$A$101,0))-INDEX('Préstamos'!$K$2:$K$101,MATCH($A446,'Préstamos'!$A$2:$A$101,0))*(INDEX('Préstamos'!$G$2:$G$101,MATCH($A446,'Préstamos'!$A$2:$A$101,0))-1),INDEX('Préstamos'!$K$2:$K$101,MATCH($A446,'Préstamos'!$A$2:$A$101,0))))</f>
        <v/>
      </c>
      <c r="H446" s="29">
        <f>IF($A446="","",F446+G446)</f>
        <v/>
      </c>
      <c r="I446" s="14" t="n"/>
      <c r="J446" s="33" t="n"/>
      <c r="K446" s="16">
        <f>IF(OR($A446="",I446="Pagado"),"",MAX(0,TODAY()-E446))</f>
        <v/>
      </c>
      <c r="L446" s="16">
        <f>IF($A446="","",IF(I446="Pagado","Pagado",IF(E446&lt;TODAY(),"Atrasado",IF(E446&lt;=EOMONTH(TODAY(),0),"Este mes","Pendiente"))))</f>
        <v/>
      </c>
      <c r="M446" s="20">
        <f>IF(OR($A446="",I446="Pagado"),"",HYPERLINK("https://wa.me/"&amp;IF(INDEX('Préstamos'!$C$2:$C$101,MATCH($A446,'Préstamos'!$A$2:$A$101,0))="","","51"&amp;SUBSTITUTE(INDEX('Préstamos'!$C$2:$C$101,MATCH($A446,'Préstamos'!$A$2:$A$101,0))," ",""))&amp;"?text="&amp;SUBSTITUTE("Hola "&amp;B446&amp;", te recuerdo que tu cuota de S/ "&amp;H446&amp;IF(E446&lt;TODAY()," vencio el "," vence el ")&amp;TEXT(E446,"dd/mm")&amp;". Gracias!"," ","%20"),"WhatsApp"))</f>
        <v/>
      </c>
    </row>
    <row r="447">
      <c r="A447" s="14" t="n"/>
      <c r="B447" s="16">
        <f>IF($A447="","",INDEX('Préstamos'!$B$2:$B$101,MATCH($A447,'Préstamos'!$A$2:$A$101,0)))</f>
        <v/>
      </c>
      <c r="C447" s="14" t="n"/>
      <c r="D447" s="14" t="n"/>
      <c r="E447" s="33" t="n"/>
      <c r="F447" s="29">
        <f>IF($A447="","",IF(D447="Solo interés",0,IF(AND(D447&lt;&gt;"Solo interés",C447=INDEX('Préstamos'!$G$2:$G$101,MATCH($A447,'Préstamos'!$A$2:$A$101,0))),INDEX('Préstamos'!$D$2:$D$101,MATCH($A447,'Préstamos'!$A$2:$A$101,0))-INDEX('Préstamos'!$J$2:$J$101,MATCH($A447,'Préstamos'!$A$2:$A$101,0))*(INDEX('Préstamos'!$G$2:$G$101,MATCH($A447,'Préstamos'!$A$2:$A$101,0))-1),INDEX('Préstamos'!$J$2:$J$101,MATCH($A447,'Préstamos'!$A$2:$A$101,0)))))</f>
        <v/>
      </c>
      <c r="G447" s="29">
        <f>IF($A447="","",IF(AND(D447&lt;&gt;"Solo interés",C447=INDEX('Préstamos'!$G$2:$G$101,MATCH($A447,'Préstamos'!$A$2:$A$101,0))),INDEX('Préstamos'!$I$2:$I$101,MATCH($A447,'Préstamos'!$A$2:$A$101,0))-INDEX('Préstamos'!$K$2:$K$101,MATCH($A447,'Préstamos'!$A$2:$A$101,0))*(INDEX('Préstamos'!$G$2:$G$101,MATCH($A447,'Préstamos'!$A$2:$A$101,0))-1),INDEX('Préstamos'!$K$2:$K$101,MATCH($A447,'Préstamos'!$A$2:$A$101,0))))</f>
        <v/>
      </c>
      <c r="H447" s="29">
        <f>IF($A447="","",F447+G447)</f>
        <v/>
      </c>
      <c r="I447" s="14" t="n"/>
      <c r="J447" s="33" t="n"/>
      <c r="K447" s="16">
        <f>IF(OR($A447="",I447="Pagado"),"",MAX(0,TODAY()-E447))</f>
        <v/>
      </c>
      <c r="L447" s="16">
        <f>IF($A447="","",IF(I447="Pagado","Pagado",IF(E447&lt;TODAY(),"Atrasado",IF(E447&lt;=EOMONTH(TODAY(),0),"Este mes","Pendiente"))))</f>
        <v/>
      </c>
      <c r="M447" s="20">
        <f>IF(OR($A447="",I447="Pagado"),"",HYPERLINK("https://wa.me/"&amp;IF(INDEX('Préstamos'!$C$2:$C$101,MATCH($A447,'Préstamos'!$A$2:$A$101,0))="","","51"&amp;SUBSTITUTE(INDEX('Préstamos'!$C$2:$C$101,MATCH($A447,'Préstamos'!$A$2:$A$101,0))," ",""))&amp;"?text="&amp;SUBSTITUTE("Hola "&amp;B447&amp;", te recuerdo que tu cuota de S/ "&amp;H447&amp;IF(E447&lt;TODAY()," vencio el "," vence el ")&amp;TEXT(E447,"dd/mm")&amp;". Gracias!"," ","%20"),"WhatsApp"))</f>
        <v/>
      </c>
    </row>
    <row r="448">
      <c r="A448" s="14" t="n"/>
      <c r="B448" s="16">
        <f>IF($A448="","",INDEX('Préstamos'!$B$2:$B$101,MATCH($A448,'Préstamos'!$A$2:$A$101,0)))</f>
        <v/>
      </c>
      <c r="C448" s="14" t="n"/>
      <c r="D448" s="14" t="n"/>
      <c r="E448" s="33" t="n"/>
      <c r="F448" s="29">
        <f>IF($A448="","",IF(D448="Solo interés",0,IF(AND(D448&lt;&gt;"Solo interés",C448=INDEX('Préstamos'!$G$2:$G$101,MATCH($A448,'Préstamos'!$A$2:$A$101,0))),INDEX('Préstamos'!$D$2:$D$101,MATCH($A448,'Préstamos'!$A$2:$A$101,0))-INDEX('Préstamos'!$J$2:$J$101,MATCH($A448,'Préstamos'!$A$2:$A$101,0))*(INDEX('Préstamos'!$G$2:$G$101,MATCH($A448,'Préstamos'!$A$2:$A$101,0))-1),INDEX('Préstamos'!$J$2:$J$101,MATCH($A448,'Préstamos'!$A$2:$A$101,0)))))</f>
        <v/>
      </c>
      <c r="G448" s="29">
        <f>IF($A448="","",IF(AND(D448&lt;&gt;"Solo interés",C448=INDEX('Préstamos'!$G$2:$G$101,MATCH($A448,'Préstamos'!$A$2:$A$101,0))),INDEX('Préstamos'!$I$2:$I$101,MATCH($A448,'Préstamos'!$A$2:$A$101,0))-INDEX('Préstamos'!$K$2:$K$101,MATCH($A448,'Préstamos'!$A$2:$A$101,0))*(INDEX('Préstamos'!$G$2:$G$101,MATCH($A448,'Préstamos'!$A$2:$A$101,0))-1),INDEX('Préstamos'!$K$2:$K$101,MATCH($A448,'Préstamos'!$A$2:$A$101,0))))</f>
        <v/>
      </c>
      <c r="H448" s="29">
        <f>IF($A448="","",F448+G448)</f>
        <v/>
      </c>
      <c r="I448" s="14" t="n"/>
      <c r="J448" s="33" t="n"/>
      <c r="K448" s="16">
        <f>IF(OR($A448="",I448="Pagado"),"",MAX(0,TODAY()-E448))</f>
        <v/>
      </c>
      <c r="L448" s="16">
        <f>IF($A448="","",IF(I448="Pagado","Pagado",IF(E448&lt;TODAY(),"Atrasado",IF(E448&lt;=EOMONTH(TODAY(),0),"Este mes","Pendiente"))))</f>
        <v/>
      </c>
      <c r="M448" s="20">
        <f>IF(OR($A448="",I448="Pagado"),"",HYPERLINK("https://wa.me/"&amp;IF(INDEX('Préstamos'!$C$2:$C$101,MATCH($A448,'Préstamos'!$A$2:$A$101,0))="","","51"&amp;SUBSTITUTE(INDEX('Préstamos'!$C$2:$C$101,MATCH($A448,'Préstamos'!$A$2:$A$101,0))," ",""))&amp;"?text="&amp;SUBSTITUTE("Hola "&amp;B448&amp;", te recuerdo que tu cuota de S/ "&amp;H448&amp;IF(E448&lt;TODAY()," vencio el "," vence el ")&amp;TEXT(E448,"dd/mm")&amp;". Gracias!"," ","%20"),"WhatsApp"))</f>
        <v/>
      </c>
    </row>
    <row r="449">
      <c r="A449" s="14" t="n"/>
      <c r="B449" s="16">
        <f>IF($A449="","",INDEX('Préstamos'!$B$2:$B$101,MATCH($A449,'Préstamos'!$A$2:$A$101,0)))</f>
        <v/>
      </c>
      <c r="C449" s="14" t="n"/>
      <c r="D449" s="14" t="n"/>
      <c r="E449" s="33" t="n"/>
      <c r="F449" s="29">
        <f>IF($A449="","",IF(D449="Solo interés",0,IF(AND(D449&lt;&gt;"Solo interés",C449=INDEX('Préstamos'!$G$2:$G$101,MATCH($A449,'Préstamos'!$A$2:$A$101,0))),INDEX('Préstamos'!$D$2:$D$101,MATCH($A449,'Préstamos'!$A$2:$A$101,0))-INDEX('Préstamos'!$J$2:$J$101,MATCH($A449,'Préstamos'!$A$2:$A$101,0))*(INDEX('Préstamos'!$G$2:$G$101,MATCH($A449,'Préstamos'!$A$2:$A$101,0))-1),INDEX('Préstamos'!$J$2:$J$101,MATCH($A449,'Préstamos'!$A$2:$A$101,0)))))</f>
        <v/>
      </c>
      <c r="G449" s="29">
        <f>IF($A449="","",IF(AND(D449&lt;&gt;"Solo interés",C449=INDEX('Préstamos'!$G$2:$G$101,MATCH($A449,'Préstamos'!$A$2:$A$101,0))),INDEX('Préstamos'!$I$2:$I$101,MATCH($A449,'Préstamos'!$A$2:$A$101,0))-INDEX('Préstamos'!$K$2:$K$101,MATCH($A449,'Préstamos'!$A$2:$A$101,0))*(INDEX('Préstamos'!$G$2:$G$101,MATCH($A449,'Préstamos'!$A$2:$A$101,0))-1),INDEX('Préstamos'!$K$2:$K$101,MATCH($A449,'Préstamos'!$A$2:$A$101,0))))</f>
        <v/>
      </c>
      <c r="H449" s="29">
        <f>IF($A449="","",F449+G449)</f>
        <v/>
      </c>
      <c r="I449" s="14" t="n"/>
      <c r="J449" s="33" t="n"/>
      <c r="K449" s="16">
        <f>IF(OR($A449="",I449="Pagado"),"",MAX(0,TODAY()-E449))</f>
        <v/>
      </c>
      <c r="L449" s="16">
        <f>IF($A449="","",IF(I449="Pagado","Pagado",IF(E449&lt;TODAY(),"Atrasado",IF(E449&lt;=EOMONTH(TODAY(),0),"Este mes","Pendiente"))))</f>
        <v/>
      </c>
      <c r="M449" s="20">
        <f>IF(OR($A449="",I449="Pagado"),"",HYPERLINK("https://wa.me/"&amp;IF(INDEX('Préstamos'!$C$2:$C$101,MATCH($A449,'Préstamos'!$A$2:$A$101,0))="","","51"&amp;SUBSTITUTE(INDEX('Préstamos'!$C$2:$C$101,MATCH($A449,'Préstamos'!$A$2:$A$101,0))," ",""))&amp;"?text="&amp;SUBSTITUTE("Hola "&amp;B449&amp;", te recuerdo que tu cuota de S/ "&amp;H449&amp;IF(E449&lt;TODAY()," vencio el "," vence el ")&amp;TEXT(E449,"dd/mm")&amp;". Gracias!"," ","%20"),"WhatsApp"))</f>
        <v/>
      </c>
    </row>
    <row r="450">
      <c r="A450" s="14" t="n"/>
      <c r="B450" s="16">
        <f>IF($A450="","",INDEX('Préstamos'!$B$2:$B$101,MATCH($A450,'Préstamos'!$A$2:$A$101,0)))</f>
        <v/>
      </c>
      <c r="C450" s="14" t="n"/>
      <c r="D450" s="14" t="n"/>
      <c r="E450" s="33" t="n"/>
      <c r="F450" s="29">
        <f>IF($A450="","",IF(D450="Solo interés",0,IF(AND(D450&lt;&gt;"Solo interés",C450=INDEX('Préstamos'!$G$2:$G$101,MATCH($A450,'Préstamos'!$A$2:$A$101,0))),INDEX('Préstamos'!$D$2:$D$101,MATCH($A450,'Préstamos'!$A$2:$A$101,0))-INDEX('Préstamos'!$J$2:$J$101,MATCH($A450,'Préstamos'!$A$2:$A$101,0))*(INDEX('Préstamos'!$G$2:$G$101,MATCH($A450,'Préstamos'!$A$2:$A$101,0))-1),INDEX('Préstamos'!$J$2:$J$101,MATCH($A450,'Préstamos'!$A$2:$A$101,0)))))</f>
        <v/>
      </c>
      <c r="G450" s="29">
        <f>IF($A450="","",IF(AND(D450&lt;&gt;"Solo interés",C450=INDEX('Préstamos'!$G$2:$G$101,MATCH($A450,'Préstamos'!$A$2:$A$101,0))),INDEX('Préstamos'!$I$2:$I$101,MATCH($A450,'Préstamos'!$A$2:$A$101,0))-INDEX('Préstamos'!$K$2:$K$101,MATCH($A450,'Préstamos'!$A$2:$A$101,0))*(INDEX('Préstamos'!$G$2:$G$101,MATCH($A450,'Préstamos'!$A$2:$A$101,0))-1),INDEX('Préstamos'!$K$2:$K$101,MATCH($A450,'Préstamos'!$A$2:$A$101,0))))</f>
        <v/>
      </c>
      <c r="H450" s="29">
        <f>IF($A450="","",F450+G450)</f>
        <v/>
      </c>
      <c r="I450" s="14" t="n"/>
      <c r="J450" s="33" t="n"/>
      <c r="K450" s="16">
        <f>IF(OR($A450="",I450="Pagado"),"",MAX(0,TODAY()-E450))</f>
        <v/>
      </c>
      <c r="L450" s="16">
        <f>IF($A450="","",IF(I450="Pagado","Pagado",IF(E450&lt;TODAY(),"Atrasado",IF(E450&lt;=EOMONTH(TODAY(),0),"Este mes","Pendiente"))))</f>
        <v/>
      </c>
      <c r="M450" s="20">
        <f>IF(OR($A450="",I450="Pagado"),"",HYPERLINK("https://wa.me/"&amp;IF(INDEX('Préstamos'!$C$2:$C$101,MATCH($A450,'Préstamos'!$A$2:$A$101,0))="","","51"&amp;SUBSTITUTE(INDEX('Préstamos'!$C$2:$C$101,MATCH($A450,'Préstamos'!$A$2:$A$101,0))," ",""))&amp;"?text="&amp;SUBSTITUTE("Hola "&amp;B450&amp;", te recuerdo que tu cuota de S/ "&amp;H450&amp;IF(E450&lt;TODAY()," vencio el "," vence el ")&amp;TEXT(E450,"dd/mm")&amp;". Gracias!"," ","%20"),"WhatsApp"))</f>
        <v/>
      </c>
    </row>
    <row r="451">
      <c r="A451" s="14" t="n"/>
      <c r="B451" s="16">
        <f>IF($A451="","",INDEX('Préstamos'!$B$2:$B$101,MATCH($A451,'Préstamos'!$A$2:$A$101,0)))</f>
        <v/>
      </c>
      <c r="C451" s="14" t="n"/>
      <c r="D451" s="14" t="n"/>
      <c r="E451" s="33" t="n"/>
      <c r="F451" s="29">
        <f>IF($A451="","",IF(D451="Solo interés",0,IF(AND(D451&lt;&gt;"Solo interés",C451=INDEX('Préstamos'!$G$2:$G$101,MATCH($A451,'Préstamos'!$A$2:$A$101,0))),INDEX('Préstamos'!$D$2:$D$101,MATCH($A451,'Préstamos'!$A$2:$A$101,0))-INDEX('Préstamos'!$J$2:$J$101,MATCH($A451,'Préstamos'!$A$2:$A$101,0))*(INDEX('Préstamos'!$G$2:$G$101,MATCH($A451,'Préstamos'!$A$2:$A$101,0))-1),INDEX('Préstamos'!$J$2:$J$101,MATCH($A451,'Préstamos'!$A$2:$A$101,0)))))</f>
        <v/>
      </c>
      <c r="G451" s="29">
        <f>IF($A451="","",IF(AND(D451&lt;&gt;"Solo interés",C451=INDEX('Préstamos'!$G$2:$G$101,MATCH($A451,'Préstamos'!$A$2:$A$101,0))),INDEX('Préstamos'!$I$2:$I$101,MATCH($A451,'Préstamos'!$A$2:$A$101,0))-INDEX('Préstamos'!$K$2:$K$101,MATCH($A451,'Préstamos'!$A$2:$A$101,0))*(INDEX('Préstamos'!$G$2:$G$101,MATCH($A451,'Préstamos'!$A$2:$A$101,0))-1),INDEX('Préstamos'!$K$2:$K$101,MATCH($A451,'Préstamos'!$A$2:$A$101,0))))</f>
        <v/>
      </c>
      <c r="H451" s="29">
        <f>IF($A451="","",F451+G451)</f>
        <v/>
      </c>
      <c r="I451" s="14" t="n"/>
      <c r="J451" s="33" t="n"/>
      <c r="K451" s="16">
        <f>IF(OR($A451="",I451="Pagado"),"",MAX(0,TODAY()-E451))</f>
        <v/>
      </c>
      <c r="L451" s="16">
        <f>IF($A451="","",IF(I451="Pagado","Pagado",IF(E451&lt;TODAY(),"Atrasado",IF(E451&lt;=EOMONTH(TODAY(),0),"Este mes","Pendiente"))))</f>
        <v/>
      </c>
      <c r="M451" s="20">
        <f>IF(OR($A451="",I451="Pagado"),"",HYPERLINK("https://wa.me/"&amp;IF(INDEX('Préstamos'!$C$2:$C$101,MATCH($A451,'Préstamos'!$A$2:$A$101,0))="","","51"&amp;SUBSTITUTE(INDEX('Préstamos'!$C$2:$C$101,MATCH($A451,'Préstamos'!$A$2:$A$101,0))," ",""))&amp;"?text="&amp;SUBSTITUTE("Hola "&amp;B451&amp;", te recuerdo que tu cuota de S/ "&amp;H451&amp;IF(E451&lt;TODAY()," vencio el "," vence el ")&amp;TEXT(E451,"dd/mm")&amp;". Gracias!"," ","%20"),"WhatsApp"))</f>
        <v/>
      </c>
    </row>
    <row r="452">
      <c r="A452" s="14" t="n"/>
      <c r="B452" s="16">
        <f>IF($A452="","",INDEX('Préstamos'!$B$2:$B$101,MATCH($A452,'Préstamos'!$A$2:$A$101,0)))</f>
        <v/>
      </c>
      <c r="C452" s="14" t="n"/>
      <c r="D452" s="14" t="n"/>
      <c r="E452" s="33" t="n"/>
      <c r="F452" s="29">
        <f>IF($A452="","",IF(D452="Solo interés",0,IF(AND(D452&lt;&gt;"Solo interés",C452=INDEX('Préstamos'!$G$2:$G$101,MATCH($A452,'Préstamos'!$A$2:$A$101,0))),INDEX('Préstamos'!$D$2:$D$101,MATCH($A452,'Préstamos'!$A$2:$A$101,0))-INDEX('Préstamos'!$J$2:$J$101,MATCH($A452,'Préstamos'!$A$2:$A$101,0))*(INDEX('Préstamos'!$G$2:$G$101,MATCH($A452,'Préstamos'!$A$2:$A$101,0))-1),INDEX('Préstamos'!$J$2:$J$101,MATCH($A452,'Préstamos'!$A$2:$A$101,0)))))</f>
        <v/>
      </c>
      <c r="G452" s="29">
        <f>IF($A452="","",IF(AND(D452&lt;&gt;"Solo interés",C452=INDEX('Préstamos'!$G$2:$G$101,MATCH($A452,'Préstamos'!$A$2:$A$101,0))),INDEX('Préstamos'!$I$2:$I$101,MATCH($A452,'Préstamos'!$A$2:$A$101,0))-INDEX('Préstamos'!$K$2:$K$101,MATCH($A452,'Préstamos'!$A$2:$A$101,0))*(INDEX('Préstamos'!$G$2:$G$101,MATCH($A452,'Préstamos'!$A$2:$A$101,0))-1),INDEX('Préstamos'!$K$2:$K$101,MATCH($A452,'Préstamos'!$A$2:$A$101,0))))</f>
        <v/>
      </c>
      <c r="H452" s="29">
        <f>IF($A452="","",F452+G452)</f>
        <v/>
      </c>
      <c r="I452" s="14" t="n"/>
      <c r="J452" s="33" t="n"/>
      <c r="K452" s="16">
        <f>IF(OR($A452="",I452="Pagado"),"",MAX(0,TODAY()-E452))</f>
        <v/>
      </c>
      <c r="L452" s="16">
        <f>IF($A452="","",IF(I452="Pagado","Pagado",IF(E452&lt;TODAY(),"Atrasado",IF(E452&lt;=EOMONTH(TODAY(),0),"Este mes","Pendiente"))))</f>
        <v/>
      </c>
      <c r="M452" s="20">
        <f>IF(OR($A452="",I452="Pagado"),"",HYPERLINK("https://wa.me/"&amp;IF(INDEX('Préstamos'!$C$2:$C$101,MATCH($A452,'Préstamos'!$A$2:$A$101,0))="","","51"&amp;SUBSTITUTE(INDEX('Préstamos'!$C$2:$C$101,MATCH($A452,'Préstamos'!$A$2:$A$101,0))," ",""))&amp;"?text="&amp;SUBSTITUTE("Hola "&amp;B452&amp;", te recuerdo que tu cuota de S/ "&amp;H452&amp;IF(E452&lt;TODAY()," vencio el "," vence el ")&amp;TEXT(E452,"dd/mm")&amp;". Gracias!"," ","%20"),"WhatsApp"))</f>
        <v/>
      </c>
    </row>
    <row r="453">
      <c r="A453" s="14" t="n"/>
      <c r="B453" s="16">
        <f>IF($A453="","",INDEX('Préstamos'!$B$2:$B$101,MATCH($A453,'Préstamos'!$A$2:$A$101,0)))</f>
        <v/>
      </c>
      <c r="C453" s="14" t="n"/>
      <c r="D453" s="14" t="n"/>
      <c r="E453" s="33" t="n"/>
      <c r="F453" s="29">
        <f>IF($A453="","",IF(D453="Solo interés",0,IF(AND(D453&lt;&gt;"Solo interés",C453=INDEX('Préstamos'!$G$2:$G$101,MATCH($A453,'Préstamos'!$A$2:$A$101,0))),INDEX('Préstamos'!$D$2:$D$101,MATCH($A453,'Préstamos'!$A$2:$A$101,0))-INDEX('Préstamos'!$J$2:$J$101,MATCH($A453,'Préstamos'!$A$2:$A$101,0))*(INDEX('Préstamos'!$G$2:$G$101,MATCH($A453,'Préstamos'!$A$2:$A$101,0))-1),INDEX('Préstamos'!$J$2:$J$101,MATCH($A453,'Préstamos'!$A$2:$A$101,0)))))</f>
        <v/>
      </c>
      <c r="G453" s="29">
        <f>IF($A453="","",IF(AND(D453&lt;&gt;"Solo interés",C453=INDEX('Préstamos'!$G$2:$G$101,MATCH($A453,'Préstamos'!$A$2:$A$101,0))),INDEX('Préstamos'!$I$2:$I$101,MATCH($A453,'Préstamos'!$A$2:$A$101,0))-INDEX('Préstamos'!$K$2:$K$101,MATCH($A453,'Préstamos'!$A$2:$A$101,0))*(INDEX('Préstamos'!$G$2:$G$101,MATCH($A453,'Préstamos'!$A$2:$A$101,0))-1),INDEX('Préstamos'!$K$2:$K$101,MATCH($A453,'Préstamos'!$A$2:$A$101,0))))</f>
        <v/>
      </c>
      <c r="H453" s="29">
        <f>IF($A453="","",F453+G453)</f>
        <v/>
      </c>
      <c r="I453" s="14" t="n"/>
      <c r="J453" s="33" t="n"/>
      <c r="K453" s="16">
        <f>IF(OR($A453="",I453="Pagado"),"",MAX(0,TODAY()-E453))</f>
        <v/>
      </c>
      <c r="L453" s="16">
        <f>IF($A453="","",IF(I453="Pagado","Pagado",IF(E453&lt;TODAY(),"Atrasado",IF(E453&lt;=EOMONTH(TODAY(),0),"Este mes","Pendiente"))))</f>
        <v/>
      </c>
      <c r="M453" s="20">
        <f>IF(OR($A453="",I453="Pagado"),"",HYPERLINK("https://wa.me/"&amp;IF(INDEX('Préstamos'!$C$2:$C$101,MATCH($A453,'Préstamos'!$A$2:$A$101,0))="","","51"&amp;SUBSTITUTE(INDEX('Préstamos'!$C$2:$C$101,MATCH($A453,'Préstamos'!$A$2:$A$101,0))," ",""))&amp;"?text="&amp;SUBSTITUTE("Hola "&amp;B453&amp;", te recuerdo que tu cuota de S/ "&amp;H453&amp;IF(E453&lt;TODAY()," vencio el "," vence el ")&amp;TEXT(E453,"dd/mm")&amp;". Gracias!"," ","%20"),"WhatsApp"))</f>
        <v/>
      </c>
    </row>
    <row r="454">
      <c r="A454" s="14" t="n"/>
      <c r="B454" s="16">
        <f>IF($A454="","",INDEX('Préstamos'!$B$2:$B$101,MATCH($A454,'Préstamos'!$A$2:$A$101,0)))</f>
        <v/>
      </c>
      <c r="C454" s="14" t="n"/>
      <c r="D454" s="14" t="n"/>
      <c r="E454" s="33" t="n"/>
      <c r="F454" s="29">
        <f>IF($A454="","",IF(D454="Solo interés",0,IF(AND(D454&lt;&gt;"Solo interés",C454=INDEX('Préstamos'!$G$2:$G$101,MATCH($A454,'Préstamos'!$A$2:$A$101,0))),INDEX('Préstamos'!$D$2:$D$101,MATCH($A454,'Préstamos'!$A$2:$A$101,0))-INDEX('Préstamos'!$J$2:$J$101,MATCH($A454,'Préstamos'!$A$2:$A$101,0))*(INDEX('Préstamos'!$G$2:$G$101,MATCH($A454,'Préstamos'!$A$2:$A$101,0))-1),INDEX('Préstamos'!$J$2:$J$101,MATCH($A454,'Préstamos'!$A$2:$A$101,0)))))</f>
        <v/>
      </c>
      <c r="G454" s="29">
        <f>IF($A454="","",IF(AND(D454&lt;&gt;"Solo interés",C454=INDEX('Préstamos'!$G$2:$G$101,MATCH($A454,'Préstamos'!$A$2:$A$101,0))),INDEX('Préstamos'!$I$2:$I$101,MATCH($A454,'Préstamos'!$A$2:$A$101,0))-INDEX('Préstamos'!$K$2:$K$101,MATCH($A454,'Préstamos'!$A$2:$A$101,0))*(INDEX('Préstamos'!$G$2:$G$101,MATCH($A454,'Préstamos'!$A$2:$A$101,0))-1),INDEX('Préstamos'!$K$2:$K$101,MATCH($A454,'Préstamos'!$A$2:$A$101,0))))</f>
        <v/>
      </c>
      <c r="H454" s="29">
        <f>IF($A454="","",F454+G454)</f>
        <v/>
      </c>
      <c r="I454" s="14" t="n"/>
      <c r="J454" s="33" t="n"/>
      <c r="K454" s="16">
        <f>IF(OR($A454="",I454="Pagado"),"",MAX(0,TODAY()-E454))</f>
        <v/>
      </c>
      <c r="L454" s="16">
        <f>IF($A454="","",IF(I454="Pagado","Pagado",IF(E454&lt;TODAY(),"Atrasado",IF(E454&lt;=EOMONTH(TODAY(),0),"Este mes","Pendiente"))))</f>
        <v/>
      </c>
      <c r="M454" s="20">
        <f>IF(OR($A454="",I454="Pagado"),"",HYPERLINK("https://wa.me/"&amp;IF(INDEX('Préstamos'!$C$2:$C$101,MATCH($A454,'Préstamos'!$A$2:$A$101,0))="","","51"&amp;SUBSTITUTE(INDEX('Préstamos'!$C$2:$C$101,MATCH($A454,'Préstamos'!$A$2:$A$101,0))," ",""))&amp;"?text="&amp;SUBSTITUTE("Hola "&amp;B454&amp;", te recuerdo que tu cuota de S/ "&amp;H454&amp;IF(E454&lt;TODAY()," vencio el "," vence el ")&amp;TEXT(E454,"dd/mm")&amp;". Gracias!"," ","%20"),"WhatsApp"))</f>
        <v/>
      </c>
    </row>
    <row r="455">
      <c r="A455" s="14" t="n"/>
      <c r="B455" s="16">
        <f>IF($A455="","",INDEX('Préstamos'!$B$2:$B$101,MATCH($A455,'Préstamos'!$A$2:$A$101,0)))</f>
        <v/>
      </c>
      <c r="C455" s="14" t="n"/>
      <c r="D455" s="14" t="n"/>
      <c r="E455" s="33" t="n"/>
      <c r="F455" s="29">
        <f>IF($A455="","",IF(D455="Solo interés",0,IF(AND(D455&lt;&gt;"Solo interés",C455=INDEX('Préstamos'!$G$2:$G$101,MATCH($A455,'Préstamos'!$A$2:$A$101,0))),INDEX('Préstamos'!$D$2:$D$101,MATCH($A455,'Préstamos'!$A$2:$A$101,0))-INDEX('Préstamos'!$J$2:$J$101,MATCH($A455,'Préstamos'!$A$2:$A$101,0))*(INDEX('Préstamos'!$G$2:$G$101,MATCH($A455,'Préstamos'!$A$2:$A$101,0))-1),INDEX('Préstamos'!$J$2:$J$101,MATCH($A455,'Préstamos'!$A$2:$A$101,0)))))</f>
        <v/>
      </c>
      <c r="G455" s="29">
        <f>IF($A455="","",IF(AND(D455&lt;&gt;"Solo interés",C455=INDEX('Préstamos'!$G$2:$G$101,MATCH($A455,'Préstamos'!$A$2:$A$101,0))),INDEX('Préstamos'!$I$2:$I$101,MATCH($A455,'Préstamos'!$A$2:$A$101,0))-INDEX('Préstamos'!$K$2:$K$101,MATCH($A455,'Préstamos'!$A$2:$A$101,0))*(INDEX('Préstamos'!$G$2:$G$101,MATCH($A455,'Préstamos'!$A$2:$A$101,0))-1),INDEX('Préstamos'!$K$2:$K$101,MATCH($A455,'Préstamos'!$A$2:$A$101,0))))</f>
        <v/>
      </c>
      <c r="H455" s="29">
        <f>IF($A455="","",F455+G455)</f>
        <v/>
      </c>
      <c r="I455" s="14" t="n"/>
      <c r="J455" s="33" t="n"/>
      <c r="K455" s="16">
        <f>IF(OR($A455="",I455="Pagado"),"",MAX(0,TODAY()-E455))</f>
        <v/>
      </c>
      <c r="L455" s="16">
        <f>IF($A455="","",IF(I455="Pagado","Pagado",IF(E455&lt;TODAY(),"Atrasado",IF(E455&lt;=EOMONTH(TODAY(),0),"Este mes","Pendiente"))))</f>
        <v/>
      </c>
      <c r="M455" s="20">
        <f>IF(OR($A455="",I455="Pagado"),"",HYPERLINK("https://wa.me/"&amp;IF(INDEX('Préstamos'!$C$2:$C$101,MATCH($A455,'Préstamos'!$A$2:$A$101,0))="","","51"&amp;SUBSTITUTE(INDEX('Préstamos'!$C$2:$C$101,MATCH($A455,'Préstamos'!$A$2:$A$101,0))," ",""))&amp;"?text="&amp;SUBSTITUTE("Hola "&amp;B455&amp;", te recuerdo que tu cuota de S/ "&amp;H455&amp;IF(E455&lt;TODAY()," vencio el "," vence el ")&amp;TEXT(E455,"dd/mm")&amp;". Gracias!"," ","%20"),"WhatsApp"))</f>
        <v/>
      </c>
    </row>
    <row r="456">
      <c r="A456" s="14" t="n"/>
      <c r="B456" s="16">
        <f>IF($A456="","",INDEX('Préstamos'!$B$2:$B$101,MATCH($A456,'Préstamos'!$A$2:$A$101,0)))</f>
        <v/>
      </c>
      <c r="C456" s="14" t="n"/>
      <c r="D456" s="14" t="n"/>
      <c r="E456" s="33" t="n"/>
      <c r="F456" s="29">
        <f>IF($A456="","",IF(D456="Solo interés",0,IF(AND(D456&lt;&gt;"Solo interés",C456=INDEX('Préstamos'!$G$2:$G$101,MATCH($A456,'Préstamos'!$A$2:$A$101,0))),INDEX('Préstamos'!$D$2:$D$101,MATCH($A456,'Préstamos'!$A$2:$A$101,0))-INDEX('Préstamos'!$J$2:$J$101,MATCH($A456,'Préstamos'!$A$2:$A$101,0))*(INDEX('Préstamos'!$G$2:$G$101,MATCH($A456,'Préstamos'!$A$2:$A$101,0))-1),INDEX('Préstamos'!$J$2:$J$101,MATCH($A456,'Préstamos'!$A$2:$A$101,0)))))</f>
        <v/>
      </c>
      <c r="G456" s="29">
        <f>IF($A456="","",IF(AND(D456&lt;&gt;"Solo interés",C456=INDEX('Préstamos'!$G$2:$G$101,MATCH($A456,'Préstamos'!$A$2:$A$101,0))),INDEX('Préstamos'!$I$2:$I$101,MATCH($A456,'Préstamos'!$A$2:$A$101,0))-INDEX('Préstamos'!$K$2:$K$101,MATCH($A456,'Préstamos'!$A$2:$A$101,0))*(INDEX('Préstamos'!$G$2:$G$101,MATCH($A456,'Préstamos'!$A$2:$A$101,0))-1),INDEX('Préstamos'!$K$2:$K$101,MATCH($A456,'Préstamos'!$A$2:$A$101,0))))</f>
        <v/>
      </c>
      <c r="H456" s="29">
        <f>IF($A456="","",F456+G456)</f>
        <v/>
      </c>
      <c r="I456" s="14" t="n"/>
      <c r="J456" s="33" t="n"/>
      <c r="K456" s="16">
        <f>IF(OR($A456="",I456="Pagado"),"",MAX(0,TODAY()-E456))</f>
        <v/>
      </c>
      <c r="L456" s="16">
        <f>IF($A456="","",IF(I456="Pagado","Pagado",IF(E456&lt;TODAY(),"Atrasado",IF(E456&lt;=EOMONTH(TODAY(),0),"Este mes","Pendiente"))))</f>
        <v/>
      </c>
      <c r="M456" s="20">
        <f>IF(OR($A456="",I456="Pagado"),"",HYPERLINK("https://wa.me/"&amp;IF(INDEX('Préstamos'!$C$2:$C$101,MATCH($A456,'Préstamos'!$A$2:$A$101,0))="","","51"&amp;SUBSTITUTE(INDEX('Préstamos'!$C$2:$C$101,MATCH($A456,'Préstamos'!$A$2:$A$101,0))," ",""))&amp;"?text="&amp;SUBSTITUTE("Hola "&amp;B456&amp;", te recuerdo que tu cuota de S/ "&amp;H456&amp;IF(E456&lt;TODAY()," vencio el "," vence el ")&amp;TEXT(E456,"dd/mm")&amp;". Gracias!"," ","%20"),"WhatsApp"))</f>
        <v/>
      </c>
    </row>
    <row r="457">
      <c r="A457" s="14" t="n"/>
      <c r="B457" s="16">
        <f>IF($A457="","",INDEX('Préstamos'!$B$2:$B$101,MATCH($A457,'Préstamos'!$A$2:$A$101,0)))</f>
        <v/>
      </c>
      <c r="C457" s="14" t="n"/>
      <c r="D457" s="14" t="n"/>
      <c r="E457" s="33" t="n"/>
      <c r="F457" s="29">
        <f>IF($A457="","",IF(D457="Solo interés",0,IF(AND(D457&lt;&gt;"Solo interés",C457=INDEX('Préstamos'!$G$2:$G$101,MATCH($A457,'Préstamos'!$A$2:$A$101,0))),INDEX('Préstamos'!$D$2:$D$101,MATCH($A457,'Préstamos'!$A$2:$A$101,0))-INDEX('Préstamos'!$J$2:$J$101,MATCH($A457,'Préstamos'!$A$2:$A$101,0))*(INDEX('Préstamos'!$G$2:$G$101,MATCH($A457,'Préstamos'!$A$2:$A$101,0))-1),INDEX('Préstamos'!$J$2:$J$101,MATCH($A457,'Préstamos'!$A$2:$A$101,0)))))</f>
        <v/>
      </c>
      <c r="G457" s="29">
        <f>IF($A457="","",IF(AND(D457&lt;&gt;"Solo interés",C457=INDEX('Préstamos'!$G$2:$G$101,MATCH($A457,'Préstamos'!$A$2:$A$101,0))),INDEX('Préstamos'!$I$2:$I$101,MATCH($A457,'Préstamos'!$A$2:$A$101,0))-INDEX('Préstamos'!$K$2:$K$101,MATCH($A457,'Préstamos'!$A$2:$A$101,0))*(INDEX('Préstamos'!$G$2:$G$101,MATCH($A457,'Préstamos'!$A$2:$A$101,0))-1),INDEX('Préstamos'!$K$2:$K$101,MATCH($A457,'Préstamos'!$A$2:$A$101,0))))</f>
        <v/>
      </c>
      <c r="H457" s="29">
        <f>IF($A457="","",F457+G457)</f>
        <v/>
      </c>
      <c r="I457" s="14" t="n"/>
      <c r="J457" s="33" t="n"/>
      <c r="K457" s="16">
        <f>IF(OR($A457="",I457="Pagado"),"",MAX(0,TODAY()-E457))</f>
        <v/>
      </c>
      <c r="L457" s="16">
        <f>IF($A457="","",IF(I457="Pagado","Pagado",IF(E457&lt;TODAY(),"Atrasado",IF(E457&lt;=EOMONTH(TODAY(),0),"Este mes","Pendiente"))))</f>
        <v/>
      </c>
      <c r="M457" s="20">
        <f>IF(OR($A457="",I457="Pagado"),"",HYPERLINK("https://wa.me/"&amp;IF(INDEX('Préstamos'!$C$2:$C$101,MATCH($A457,'Préstamos'!$A$2:$A$101,0))="","","51"&amp;SUBSTITUTE(INDEX('Préstamos'!$C$2:$C$101,MATCH($A457,'Préstamos'!$A$2:$A$101,0))," ",""))&amp;"?text="&amp;SUBSTITUTE("Hola "&amp;B457&amp;", te recuerdo que tu cuota de S/ "&amp;H457&amp;IF(E457&lt;TODAY()," vencio el "," vence el ")&amp;TEXT(E457,"dd/mm")&amp;". Gracias!"," ","%20"),"WhatsApp"))</f>
        <v/>
      </c>
    </row>
    <row r="458">
      <c r="A458" s="14" t="n"/>
      <c r="B458" s="16">
        <f>IF($A458="","",INDEX('Préstamos'!$B$2:$B$101,MATCH($A458,'Préstamos'!$A$2:$A$101,0)))</f>
        <v/>
      </c>
      <c r="C458" s="14" t="n"/>
      <c r="D458" s="14" t="n"/>
      <c r="E458" s="33" t="n"/>
      <c r="F458" s="29">
        <f>IF($A458="","",IF(D458="Solo interés",0,IF(AND(D458&lt;&gt;"Solo interés",C458=INDEX('Préstamos'!$G$2:$G$101,MATCH($A458,'Préstamos'!$A$2:$A$101,0))),INDEX('Préstamos'!$D$2:$D$101,MATCH($A458,'Préstamos'!$A$2:$A$101,0))-INDEX('Préstamos'!$J$2:$J$101,MATCH($A458,'Préstamos'!$A$2:$A$101,0))*(INDEX('Préstamos'!$G$2:$G$101,MATCH($A458,'Préstamos'!$A$2:$A$101,0))-1),INDEX('Préstamos'!$J$2:$J$101,MATCH($A458,'Préstamos'!$A$2:$A$101,0)))))</f>
        <v/>
      </c>
      <c r="G458" s="29">
        <f>IF($A458="","",IF(AND(D458&lt;&gt;"Solo interés",C458=INDEX('Préstamos'!$G$2:$G$101,MATCH($A458,'Préstamos'!$A$2:$A$101,0))),INDEX('Préstamos'!$I$2:$I$101,MATCH($A458,'Préstamos'!$A$2:$A$101,0))-INDEX('Préstamos'!$K$2:$K$101,MATCH($A458,'Préstamos'!$A$2:$A$101,0))*(INDEX('Préstamos'!$G$2:$G$101,MATCH($A458,'Préstamos'!$A$2:$A$101,0))-1),INDEX('Préstamos'!$K$2:$K$101,MATCH($A458,'Préstamos'!$A$2:$A$101,0))))</f>
        <v/>
      </c>
      <c r="H458" s="29">
        <f>IF($A458="","",F458+G458)</f>
        <v/>
      </c>
      <c r="I458" s="14" t="n"/>
      <c r="J458" s="33" t="n"/>
      <c r="K458" s="16">
        <f>IF(OR($A458="",I458="Pagado"),"",MAX(0,TODAY()-E458))</f>
        <v/>
      </c>
      <c r="L458" s="16">
        <f>IF($A458="","",IF(I458="Pagado","Pagado",IF(E458&lt;TODAY(),"Atrasado",IF(E458&lt;=EOMONTH(TODAY(),0),"Este mes","Pendiente"))))</f>
        <v/>
      </c>
      <c r="M458" s="20">
        <f>IF(OR($A458="",I458="Pagado"),"",HYPERLINK("https://wa.me/"&amp;IF(INDEX('Préstamos'!$C$2:$C$101,MATCH($A458,'Préstamos'!$A$2:$A$101,0))="","","51"&amp;SUBSTITUTE(INDEX('Préstamos'!$C$2:$C$101,MATCH($A458,'Préstamos'!$A$2:$A$101,0))," ",""))&amp;"?text="&amp;SUBSTITUTE("Hola "&amp;B458&amp;", te recuerdo que tu cuota de S/ "&amp;H458&amp;IF(E458&lt;TODAY()," vencio el "," vence el ")&amp;TEXT(E458,"dd/mm")&amp;". Gracias!"," ","%20"),"WhatsApp"))</f>
        <v/>
      </c>
    </row>
    <row r="459">
      <c r="A459" s="14" t="n"/>
      <c r="B459" s="16">
        <f>IF($A459="","",INDEX('Préstamos'!$B$2:$B$101,MATCH($A459,'Préstamos'!$A$2:$A$101,0)))</f>
        <v/>
      </c>
      <c r="C459" s="14" t="n"/>
      <c r="D459" s="14" t="n"/>
      <c r="E459" s="33" t="n"/>
      <c r="F459" s="29">
        <f>IF($A459="","",IF(D459="Solo interés",0,IF(AND(D459&lt;&gt;"Solo interés",C459=INDEX('Préstamos'!$G$2:$G$101,MATCH($A459,'Préstamos'!$A$2:$A$101,0))),INDEX('Préstamos'!$D$2:$D$101,MATCH($A459,'Préstamos'!$A$2:$A$101,0))-INDEX('Préstamos'!$J$2:$J$101,MATCH($A459,'Préstamos'!$A$2:$A$101,0))*(INDEX('Préstamos'!$G$2:$G$101,MATCH($A459,'Préstamos'!$A$2:$A$101,0))-1),INDEX('Préstamos'!$J$2:$J$101,MATCH($A459,'Préstamos'!$A$2:$A$101,0)))))</f>
        <v/>
      </c>
      <c r="G459" s="29">
        <f>IF($A459="","",IF(AND(D459&lt;&gt;"Solo interés",C459=INDEX('Préstamos'!$G$2:$G$101,MATCH($A459,'Préstamos'!$A$2:$A$101,0))),INDEX('Préstamos'!$I$2:$I$101,MATCH($A459,'Préstamos'!$A$2:$A$101,0))-INDEX('Préstamos'!$K$2:$K$101,MATCH($A459,'Préstamos'!$A$2:$A$101,0))*(INDEX('Préstamos'!$G$2:$G$101,MATCH($A459,'Préstamos'!$A$2:$A$101,0))-1),INDEX('Préstamos'!$K$2:$K$101,MATCH($A459,'Préstamos'!$A$2:$A$101,0))))</f>
        <v/>
      </c>
      <c r="H459" s="29">
        <f>IF($A459="","",F459+G459)</f>
        <v/>
      </c>
      <c r="I459" s="14" t="n"/>
      <c r="J459" s="33" t="n"/>
      <c r="K459" s="16">
        <f>IF(OR($A459="",I459="Pagado"),"",MAX(0,TODAY()-E459))</f>
        <v/>
      </c>
      <c r="L459" s="16">
        <f>IF($A459="","",IF(I459="Pagado","Pagado",IF(E459&lt;TODAY(),"Atrasado",IF(E459&lt;=EOMONTH(TODAY(),0),"Este mes","Pendiente"))))</f>
        <v/>
      </c>
      <c r="M459" s="20">
        <f>IF(OR($A459="",I459="Pagado"),"",HYPERLINK("https://wa.me/"&amp;IF(INDEX('Préstamos'!$C$2:$C$101,MATCH($A459,'Préstamos'!$A$2:$A$101,0))="","","51"&amp;SUBSTITUTE(INDEX('Préstamos'!$C$2:$C$101,MATCH($A459,'Préstamos'!$A$2:$A$101,0))," ",""))&amp;"?text="&amp;SUBSTITUTE("Hola "&amp;B459&amp;", te recuerdo que tu cuota de S/ "&amp;H459&amp;IF(E459&lt;TODAY()," vencio el "," vence el ")&amp;TEXT(E459,"dd/mm")&amp;". Gracias!"," ","%20"),"WhatsApp"))</f>
        <v/>
      </c>
    </row>
    <row r="460">
      <c r="A460" s="14" t="n"/>
      <c r="B460" s="16">
        <f>IF($A460="","",INDEX('Préstamos'!$B$2:$B$101,MATCH($A460,'Préstamos'!$A$2:$A$101,0)))</f>
        <v/>
      </c>
      <c r="C460" s="14" t="n"/>
      <c r="D460" s="14" t="n"/>
      <c r="E460" s="33" t="n"/>
      <c r="F460" s="29">
        <f>IF($A460="","",IF(D460="Solo interés",0,IF(AND(D460&lt;&gt;"Solo interés",C460=INDEX('Préstamos'!$G$2:$G$101,MATCH($A460,'Préstamos'!$A$2:$A$101,0))),INDEX('Préstamos'!$D$2:$D$101,MATCH($A460,'Préstamos'!$A$2:$A$101,0))-INDEX('Préstamos'!$J$2:$J$101,MATCH($A460,'Préstamos'!$A$2:$A$101,0))*(INDEX('Préstamos'!$G$2:$G$101,MATCH($A460,'Préstamos'!$A$2:$A$101,0))-1),INDEX('Préstamos'!$J$2:$J$101,MATCH($A460,'Préstamos'!$A$2:$A$101,0)))))</f>
        <v/>
      </c>
      <c r="G460" s="29">
        <f>IF($A460="","",IF(AND(D460&lt;&gt;"Solo interés",C460=INDEX('Préstamos'!$G$2:$G$101,MATCH($A460,'Préstamos'!$A$2:$A$101,0))),INDEX('Préstamos'!$I$2:$I$101,MATCH($A460,'Préstamos'!$A$2:$A$101,0))-INDEX('Préstamos'!$K$2:$K$101,MATCH($A460,'Préstamos'!$A$2:$A$101,0))*(INDEX('Préstamos'!$G$2:$G$101,MATCH($A460,'Préstamos'!$A$2:$A$101,0))-1),INDEX('Préstamos'!$K$2:$K$101,MATCH($A460,'Préstamos'!$A$2:$A$101,0))))</f>
        <v/>
      </c>
      <c r="H460" s="29">
        <f>IF($A460="","",F460+G460)</f>
        <v/>
      </c>
      <c r="I460" s="14" t="n"/>
      <c r="J460" s="33" t="n"/>
      <c r="K460" s="16">
        <f>IF(OR($A460="",I460="Pagado"),"",MAX(0,TODAY()-E460))</f>
        <v/>
      </c>
      <c r="L460" s="16">
        <f>IF($A460="","",IF(I460="Pagado","Pagado",IF(E460&lt;TODAY(),"Atrasado",IF(E460&lt;=EOMONTH(TODAY(),0),"Este mes","Pendiente"))))</f>
        <v/>
      </c>
      <c r="M460" s="20">
        <f>IF(OR($A460="",I460="Pagado"),"",HYPERLINK("https://wa.me/"&amp;IF(INDEX('Préstamos'!$C$2:$C$101,MATCH($A460,'Préstamos'!$A$2:$A$101,0))="","","51"&amp;SUBSTITUTE(INDEX('Préstamos'!$C$2:$C$101,MATCH($A460,'Préstamos'!$A$2:$A$101,0))," ",""))&amp;"?text="&amp;SUBSTITUTE("Hola "&amp;B460&amp;", te recuerdo que tu cuota de S/ "&amp;H460&amp;IF(E460&lt;TODAY()," vencio el "," vence el ")&amp;TEXT(E460,"dd/mm")&amp;". Gracias!"," ","%20"),"WhatsApp"))</f>
        <v/>
      </c>
    </row>
    <row r="461">
      <c r="A461" s="14" t="n"/>
      <c r="B461" s="16">
        <f>IF($A461="","",INDEX('Préstamos'!$B$2:$B$101,MATCH($A461,'Préstamos'!$A$2:$A$101,0)))</f>
        <v/>
      </c>
      <c r="C461" s="14" t="n"/>
      <c r="D461" s="14" t="n"/>
      <c r="E461" s="33" t="n"/>
      <c r="F461" s="29">
        <f>IF($A461="","",IF(D461="Solo interés",0,IF(AND(D461&lt;&gt;"Solo interés",C461=INDEX('Préstamos'!$G$2:$G$101,MATCH($A461,'Préstamos'!$A$2:$A$101,0))),INDEX('Préstamos'!$D$2:$D$101,MATCH($A461,'Préstamos'!$A$2:$A$101,0))-INDEX('Préstamos'!$J$2:$J$101,MATCH($A461,'Préstamos'!$A$2:$A$101,0))*(INDEX('Préstamos'!$G$2:$G$101,MATCH($A461,'Préstamos'!$A$2:$A$101,0))-1),INDEX('Préstamos'!$J$2:$J$101,MATCH($A461,'Préstamos'!$A$2:$A$101,0)))))</f>
        <v/>
      </c>
      <c r="G461" s="29">
        <f>IF($A461="","",IF(AND(D461&lt;&gt;"Solo interés",C461=INDEX('Préstamos'!$G$2:$G$101,MATCH($A461,'Préstamos'!$A$2:$A$101,0))),INDEX('Préstamos'!$I$2:$I$101,MATCH($A461,'Préstamos'!$A$2:$A$101,0))-INDEX('Préstamos'!$K$2:$K$101,MATCH($A461,'Préstamos'!$A$2:$A$101,0))*(INDEX('Préstamos'!$G$2:$G$101,MATCH($A461,'Préstamos'!$A$2:$A$101,0))-1),INDEX('Préstamos'!$K$2:$K$101,MATCH($A461,'Préstamos'!$A$2:$A$101,0))))</f>
        <v/>
      </c>
      <c r="H461" s="29">
        <f>IF($A461="","",F461+G461)</f>
        <v/>
      </c>
      <c r="I461" s="14" t="n"/>
      <c r="J461" s="33" t="n"/>
      <c r="K461" s="16">
        <f>IF(OR($A461="",I461="Pagado"),"",MAX(0,TODAY()-E461))</f>
        <v/>
      </c>
      <c r="L461" s="16">
        <f>IF($A461="","",IF(I461="Pagado","Pagado",IF(E461&lt;TODAY(),"Atrasado",IF(E461&lt;=EOMONTH(TODAY(),0),"Este mes","Pendiente"))))</f>
        <v/>
      </c>
      <c r="M461" s="20">
        <f>IF(OR($A461="",I461="Pagado"),"",HYPERLINK("https://wa.me/"&amp;IF(INDEX('Préstamos'!$C$2:$C$101,MATCH($A461,'Préstamos'!$A$2:$A$101,0))="","","51"&amp;SUBSTITUTE(INDEX('Préstamos'!$C$2:$C$101,MATCH($A461,'Préstamos'!$A$2:$A$101,0))," ",""))&amp;"?text="&amp;SUBSTITUTE("Hola "&amp;B461&amp;", te recuerdo que tu cuota de S/ "&amp;H461&amp;IF(E461&lt;TODAY()," vencio el "," vence el ")&amp;TEXT(E461,"dd/mm")&amp;". Gracias!"," ","%20"),"WhatsApp"))</f>
        <v/>
      </c>
    </row>
    <row r="462">
      <c r="A462" s="14" t="n"/>
      <c r="B462" s="16">
        <f>IF($A462="","",INDEX('Préstamos'!$B$2:$B$101,MATCH($A462,'Préstamos'!$A$2:$A$101,0)))</f>
        <v/>
      </c>
      <c r="C462" s="14" t="n"/>
      <c r="D462" s="14" t="n"/>
      <c r="E462" s="33" t="n"/>
      <c r="F462" s="29">
        <f>IF($A462="","",IF(D462="Solo interés",0,IF(AND(D462&lt;&gt;"Solo interés",C462=INDEX('Préstamos'!$G$2:$G$101,MATCH($A462,'Préstamos'!$A$2:$A$101,0))),INDEX('Préstamos'!$D$2:$D$101,MATCH($A462,'Préstamos'!$A$2:$A$101,0))-INDEX('Préstamos'!$J$2:$J$101,MATCH($A462,'Préstamos'!$A$2:$A$101,0))*(INDEX('Préstamos'!$G$2:$G$101,MATCH($A462,'Préstamos'!$A$2:$A$101,0))-1),INDEX('Préstamos'!$J$2:$J$101,MATCH($A462,'Préstamos'!$A$2:$A$101,0)))))</f>
        <v/>
      </c>
      <c r="G462" s="29">
        <f>IF($A462="","",IF(AND(D462&lt;&gt;"Solo interés",C462=INDEX('Préstamos'!$G$2:$G$101,MATCH($A462,'Préstamos'!$A$2:$A$101,0))),INDEX('Préstamos'!$I$2:$I$101,MATCH($A462,'Préstamos'!$A$2:$A$101,0))-INDEX('Préstamos'!$K$2:$K$101,MATCH($A462,'Préstamos'!$A$2:$A$101,0))*(INDEX('Préstamos'!$G$2:$G$101,MATCH($A462,'Préstamos'!$A$2:$A$101,0))-1),INDEX('Préstamos'!$K$2:$K$101,MATCH($A462,'Préstamos'!$A$2:$A$101,0))))</f>
        <v/>
      </c>
      <c r="H462" s="29">
        <f>IF($A462="","",F462+G462)</f>
        <v/>
      </c>
      <c r="I462" s="14" t="n"/>
      <c r="J462" s="33" t="n"/>
      <c r="K462" s="16">
        <f>IF(OR($A462="",I462="Pagado"),"",MAX(0,TODAY()-E462))</f>
        <v/>
      </c>
      <c r="L462" s="16">
        <f>IF($A462="","",IF(I462="Pagado","Pagado",IF(E462&lt;TODAY(),"Atrasado",IF(E462&lt;=EOMONTH(TODAY(),0),"Este mes","Pendiente"))))</f>
        <v/>
      </c>
      <c r="M462" s="20">
        <f>IF(OR($A462="",I462="Pagado"),"",HYPERLINK("https://wa.me/"&amp;IF(INDEX('Préstamos'!$C$2:$C$101,MATCH($A462,'Préstamos'!$A$2:$A$101,0))="","","51"&amp;SUBSTITUTE(INDEX('Préstamos'!$C$2:$C$101,MATCH($A462,'Préstamos'!$A$2:$A$101,0))," ",""))&amp;"?text="&amp;SUBSTITUTE("Hola "&amp;B462&amp;", te recuerdo que tu cuota de S/ "&amp;H462&amp;IF(E462&lt;TODAY()," vencio el "," vence el ")&amp;TEXT(E462,"dd/mm")&amp;". Gracias!"," ","%20"),"WhatsApp"))</f>
        <v/>
      </c>
    </row>
    <row r="463">
      <c r="A463" s="14" t="n"/>
      <c r="B463" s="16">
        <f>IF($A463="","",INDEX('Préstamos'!$B$2:$B$101,MATCH($A463,'Préstamos'!$A$2:$A$101,0)))</f>
        <v/>
      </c>
      <c r="C463" s="14" t="n"/>
      <c r="D463" s="14" t="n"/>
      <c r="E463" s="33" t="n"/>
      <c r="F463" s="29">
        <f>IF($A463="","",IF(D463="Solo interés",0,IF(AND(D463&lt;&gt;"Solo interés",C463=INDEX('Préstamos'!$G$2:$G$101,MATCH($A463,'Préstamos'!$A$2:$A$101,0))),INDEX('Préstamos'!$D$2:$D$101,MATCH($A463,'Préstamos'!$A$2:$A$101,0))-INDEX('Préstamos'!$J$2:$J$101,MATCH($A463,'Préstamos'!$A$2:$A$101,0))*(INDEX('Préstamos'!$G$2:$G$101,MATCH($A463,'Préstamos'!$A$2:$A$101,0))-1),INDEX('Préstamos'!$J$2:$J$101,MATCH($A463,'Préstamos'!$A$2:$A$101,0)))))</f>
        <v/>
      </c>
      <c r="G463" s="29">
        <f>IF($A463="","",IF(AND(D463&lt;&gt;"Solo interés",C463=INDEX('Préstamos'!$G$2:$G$101,MATCH($A463,'Préstamos'!$A$2:$A$101,0))),INDEX('Préstamos'!$I$2:$I$101,MATCH($A463,'Préstamos'!$A$2:$A$101,0))-INDEX('Préstamos'!$K$2:$K$101,MATCH($A463,'Préstamos'!$A$2:$A$101,0))*(INDEX('Préstamos'!$G$2:$G$101,MATCH($A463,'Préstamos'!$A$2:$A$101,0))-1),INDEX('Préstamos'!$K$2:$K$101,MATCH($A463,'Préstamos'!$A$2:$A$101,0))))</f>
        <v/>
      </c>
      <c r="H463" s="29">
        <f>IF($A463="","",F463+G463)</f>
        <v/>
      </c>
      <c r="I463" s="14" t="n"/>
      <c r="J463" s="33" t="n"/>
      <c r="K463" s="16">
        <f>IF(OR($A463="",I463="Pagado"),"",MAX(0,TODAY()-E463))</f>
        <v/>
      </c>
      <c r="L463" s="16">
        <f>IF($A463="","",IF(I463="Pagado","Pagado",IF(E463&lt;TODAY(),"Atrasado",IF(E463&lt;=EOMONTH(TODAY(),0),"Este mes","Pendiente"))))</f>
        <v/>
      </c>
      <c r="M463" s="20">
        <f>IF(OR($A463="",I463="Pagado"),"",HYPERLINK("https://wa.me/"&amp;IF(INDEX('Préstamos'!$C$2:$C$101,MATCH($A463,'Préstamos'!$A$2:$A$101,0))="","","51"&amp;SUBSTITUTE(INDEX('Préstamos'!$C$2:$C$101,MATCH($A463,'Préstamos'!$A$2:$A$101,0))," ",""))&amp;"?text="&amp;SUBSTITUTE("Hola "&amp;B463&amp;", te recuerdo que tu cuota de S/ "&amp;H463&amp;IF(E463&lt;TODAY()," vencio el "," vence el ")&amp;TEXT(E463,"dd/mm")&amp;". Gracias!"," ","%20"),"WhatsApp"))</f>
        <v/>
      </c>
    </row>
    <row r="464">
      <c r="A464" s="14" t="n"/>
      <c r="B464" s="16">
        <f>IF($A464="","",INDEX('Préstamos'!$B$2:$B$101,MATCH($A464,'Préstamos'!$A$2:$A$101,0)))</f>
        <v/>
      </c>
      <c r="C464" s="14" t="n"/>
      <c r="D464" s="14" t="n"/>
      <c r="E464" s="33" t="n"/>
      <c r="F464" s="29">
        <f>IF($A464="","",IF(D464="Solo interés",0,IF(AND(D464&lt;&gt;"Solo interés",C464=INDEX('Préstamos'!$G$2:$G$101,MATCH($A464,'Préstamos'!$A$2:$A$101,0))),INDEX('Préstamos'!$D$2:$D$101,MATCH($A464,'Préstamos'!$A$2:$A$101,0))-INDEX('Préstamos'!$J$2:$J$101,MATCH($A464,'Préstamos'!$A$2:$A$101,0))*(INDEX('Préstamos'!$G$2:$G$101,MATCH($A464,'Préstamos'!$A$2:$A$101,0))-1),INDEX('Préstamos'!$J$2:$J$101,MATCH($A464,'Préstamos'!$A$2:$A$101,0)))))</f>
        <v/>
      </c>
      <c r="G464" s="29">
        <f>IF($A464="","",IF(AND(D464&lt;&gt;"Solo interés",C464=INDEX('Préstamos'!$G$2:$G$101,MATCH($A464,'Préstamos'!$A$2:$A$101,0))),INDEX('Préstamos'!$I$2:$I$101,MATCH($A464,'Préstamos'!$A$2:$A$101,0))-INDEX('Préstamos'!$K$2:$K$101,MATCH($A464,'Préstamos'!$A$2:$A$101,0))*(INDEX('Préstamos'!$G$2:$G$101,MATCH($A464,'Préstamos'!$A$2:$A$101,0))-1),INDEX('Préstamos'!$K$2:$K$101,MATCH($A464,'Préstamos'!$A$2:$A$101,0))))</f>
        <v/>
      </c>
      <c r="H464" s="29">
        <f>IF($A464="","",F464+G464)</f>
        <v/>
      </c>
      <c r="I464" s="14" t="n"/>
      <c r="J464" s="33" t="n"/>
      <c r="K464" s="16">
        <f>IF(OR($A464="",I464="Pagado"),"",MAX(0,TODAY()-E464))</f>
        <v/>
      </c>
      <c r="L464" s="16">
        <f>IF($A464="","",IF(I464="Pagado","Pagado",IF(E464&lt;TODAY(),"Atrasado",IF(E464&lt;=EOMONTH(TODAY(),0),"Este mes","Pendiente"))))</f>
        <v/>
      </c>
      <c r="M464" s="20">
        <f>IF(OR($A464="",I464="Pagado"),"",HYPERLINK("https://wa.me/"&amp;IF(INDEX('Préstamos'!$C$2:$C$101,MATCH($A464,'Préstamos'!$A$2:$A$101,0))="","","51"&amp;SUBSTITUTE(INDEX('Préstamos'!$C$2:$C$101,MATCH($A464,'Préstamos'!$A$2:$A$101,0))," ",""))&amp;"?text="&amp;SUBSTITUTE("Hola "&amp;B464&amp;", te recuerdo que tu cuota de S/ "&amp;H464&amp;IF(E464&lt;TODAY()," vencio el "," vence el ")&amp;TEXT(E464,"dd/mm")&amp;". Gracias!"," ","%20"),"WhatsApp"))</f>
        <v/>
      </c>
    </row>
    <row r="465">
      <c r="A465" s="14" t="n"/>
      <c r="B465" s="16">
        <f>IF($A465="","",INDEX('Préstamos'!$B$2:$B$101,MATCH($A465,'Préstamos'!$A$2:$A$101,0)))</f>
        <v/>
      </c>
      <c r="C465" s="14" t="n"/>
      <c r="D465" s="14" t="n"/>
      <c r="E465" s="33" t="n"/>
      <c r="F465" s="29">
        <f>IF($A465="","",IF(D465="Solo interés",0,IF(AND(D465&lt;&gt;"Solo interés",C465=INDEX('Préstamos'!$G$2:$G$101,MATCH($A465,'Préstamos'!$A$2:$A$101,0))),INDEX('Préstamos'!$D$2:$D$101,MATCH($A465,'Préstamos'!$A$2:$A$101,0))-INDEX('Préstamos'!$J$2:$J$101,MATCH($A465,'Préstamos'!$A$2:$A$101,0))*(INDEX('Préstamos'!$G$2:$G$101,MATCH($A465,'Préstamos'!$A$2:$A$101,0))-1),INDEX('Préstamos'!$J$2:$J$101,MATCH($A465,'Préstamos'!$A$2:$A$101,0)))))</f>
        <v/>
      </c>
      <c r="G465" s="29">
        <f>IF($A465="","",IF(AND(D465&lt;&gt;"Solo interés",C465=INDEX('Préstamos'!$G$2:$G$101,MATCH($A465,'Préstamos'!$A$2:$A$101,0))),INDEX('Préstamos'!$I$2:$I$101,MATCH($A465,'Préstamos'!$A$2:$A$101,0))-INDEX('Préstamos'!$K$2:$K$101,MATCH($A465,'Préstamos'!$A$2:$A$101,0))*(INDEX('Préstamos'!$G$2:$G$101,MATCH($A465,'Préstamos'!$A$2:$A$101,0))-1),INDEX('Préstamos'!$K$2:$K$101,MATCH($A465,'Préstamos'!$A$2:$A$101,0))))</f>
        <v/>
      </c>
      <c r="H465" s="29">
        <f>IF($A465="","",F465+G465)</f>
        <v/>
      </c>
      <c r="I465" s="14" t="n"/>
      <c r="J465" s="33" t="n"/>
      <c r="K465" s="16">
        <f>IF(OR($A465="",I465="Pagado"),"",MAX(0,TODAY()-E465))</f>
        <v/>
      </c>
      <c r="L465" s="16">
        <f>IF($A465="","",IF(I465="Pagado","Pagado",IF(E465&lt;TODAY(),"Atrasado",IF(E465&lt;=EOMONTH(TODAY(),0),"Este mes","Pendiente"))))</f>
        <v/>
      </c>
      <c r="M465" s="20">
        <f>IF(OR($A465="",I465="Pagado"),"",HYPERLINK("https://wa.me/"&amp;IF(INDEX('Préstamos'!$C$2:$C$101,MATCH($A465,'Préstamos'!$A$2:$A$101,0))="","","51"&amp;SUBSTITUTE(INDEX('Préstamos'!$C$2:$C$101,MATCH($A465,'Préstamos'!$A$2:$A$101,0))," ",""))&amp;"?text="&amp;SUBSTITUTE("Hola "&amp;B465&amp;", te recuerdo que tu cuota de S/ "&amp;H465&amp;IF(E465&lt;TODAY()," vencio el "," vence el ")&amp;TEXT(E465,"dd/mm")&amp;". Gracias!"," ","%20"),"WhatsApp"))</f>
        <v/>
      </c>
    </row>
    <row r="466">
      <c r="A466" s="14" t="n"/>
      <c r="B466" s="16">
        <f>IF($A466="","",INDEX('Préstamos'!$B$2:$B$101,MATCH($A466,'Préstamos'!$A$2:$A$101,0)))</f>
        <v/>
      </c>
      <c r="C466" s="14" t="n"/>
      <c r="D466" s="14" t="n"/>
      <c r="E466" s="33" t="n"/>
      <c r="F466" s="29">
        <f>IF($A466="","",IF(D466="Solo interés",0,IF(AND(D466&lt;&gt;"Solo interés",C466=INDEX('Préstamos'!$G$2:$G$101,MATCH($A466,'Préstamos'!$A$2:$A$101,0))),INDEX('Préstamos'!$D$2:$D$101,MATCH($A466,'Préstamos'!$A$2:$A$101,0))-INDEX('Préstamos'!$J$2:$J$101,MATCH($A466,'Préstamos'!$A$2:$A$101,0))*(INDEX('Préstamos'!$G$2:$G$101,MATCH($A466,'Préstamos'!$A$2:$A$101,0))-1),INDEX('Préstamos'!$J$2:$J$101,MATCH($A466,'Préstamos'!$A$2:$A$101,0)))))</f>
        <v/>
      </c>
      <c r="G466" s="29">
        <f>IF($A466="","",IF(AND(D466&lt;&gt;"Solo interés",C466=INDEX('Préstamos'!$G$2:$G$101,MATCH($A466,'Préstamos'!$A$2:$A$101,0))),INDEX('Préstamos'!$I$2:$I$101,MATCH($A466,'Préstamos'!$A$2:$A$101,0))-INDEX('Préstamos'!$K$2:$K$101,MATCH($A466,'Préstamos'!$A$2:$A$101,0))*(INDEX('Préstamos'!$G$2:$G$101,MATCH($A466,'Préstamos'!$A$2:$A$101,0))-1),INDEX('Préstamos'!$K$2:$K$101,MATCH($A466,'Préstamos'!$A$2:$A$101,0))))</f>
        <v/>
      </c>
      <c r="H466" s="29">
        <f>IF($A466="","",F466+G466)</f>
        <v/>
      </c>
      <c r="I466" s="14" t="n"/>
      <c r="J466" s="33" t="n"/>
      <c r="K466" s="16">
        <f>IF(OR($A466="",I466="Pagado"),"",MAX(0,TODAY()-E466))</f>
        <v/>
      </c>
      <c r="L466" s="16">
        <f>IF($A466="","",IF(I466="Pagado","Pagado",IF(E466&lt;TODAY(),"Atrasado",IF(E466&lt;=EOMONTH(TODAY(),0),"Este mes","Pendiente"))))</f>
        <v/>
      </c>
      <c r="M466" s="20">
        <f>IF(OR($A466="",I466="Pagado"),"",HYPERLINK("https://wa.me/"&amp;IF(INDEX('Préstamos'!$C$2:$C$101,MATCH($A466,'Préstamos'!$A$2:$A$101,0))="","","51"&amp;SUBSTITUTE(INDEX('Préstamos'!$C$2:$C$101,MATCH($A466,'Préstamos'!$A$2:$A$101,0))," ",""))&amp;"?text="&amp;SUBSTITUTE("Hola "&amp;B466&amp;", te recuerdo que tu cuota de S/ "&amp;H466&amp;IF(E466&lt;TODAY()," vencio el "," vence el ")&amp;TEXT(E466,"dd/mm")&amp;". Gracias!"," ","%20"),"WhatsApp"))</f>
        <v/>
      </c>
    </row>
    <row r="467">
      <c r="A467" s="14" t="n"/>
      <c r="B467" s="16">
        <f>IF($A467="","",INDEX('Préstamos'!$B$2:$B$101,MATCH($A467,'Préstamos'!$A$2:$A$101,0)))</f>
        <v/>
      </c>
      <c r="C467" s="14" t="n"/>
      <c r="D467" s="14" t="n"/>
      <c r="E467" s="33" t="n"/>
      <c r="F467" s="29">
        <f>IF($A467="","",IF(D467="Solo interés",0,IF(AND(D467&lt;&gt;"Solo interés",C467=INDEX('Préstamos'!$G$2:$G$101,MATCH($A467,'Préstamos'!$A$2:$A$101,0))),INDEX('Préstamos'!$D$2:$D$101,MATCH($A467,'Préstamos'!$A$2:$A$101,0))-INDEX('Préstamos'!$J$2:$J$101,MATCH($A467,'Préstamos'!$A$2:$A$101,0))*(INDEX('Préstamos'!$G$2:$G$101,MATCH($A467,'Préstamos'!$A$2:$A$101,0))-1),INDEX('Préstamos'!$J$2:$J$101,MATCH($A467,'Préstamos'!$A$2:$A$101,0)))))</f>
        <v/>
      </c>
      <c r="G467" s="29">
        <f>IF($A467="","",IF(AND(D467&lt;&gt;"Solo interés",C467=INDEX('Préstamos'!$G$2:$G$101,MATCH($A467,'Préstamos'!$A$2:$A$101,0))),INDEX('Préstamos'!$I$2:$I$101,MATCH($A467,'Préstamos'!$A$2:$A$101,0))-INDEX('Préstamos'!$K$2:$K$101,MATCH($A467,'Préstamos'!$A$2:$A$101,0))*(INDEX('Préstamos'!$G$2:$G$101,MATCH($A467,'Préstamos'!$A$2:$A$101,0))-1),INDEX('Préstamos'!$K$2:$K$101,MATCH($A467,'Préstamos'!$A$2:$A$101,0))))</f>
        <v/>
      </c>
      <c r="H467" s="29">
        <f>IF($A467="","",F467+G467)</f>
        <v/>
      </c>
      <c r="I467" s="14" t="n"/>
      <c r="J467" s="33" t="n"/>
      <c r="K467" s="16">
        <f>IF(OR($A467="",I467="Pagado"),"",MAX(0,TODAY()-E467))</f>
        <v/>
      </c>
      <c r="L467" s="16">
        <f>IF($A467="","",IF(I467="Pagado","Pagado",IF(E467&lt;TODAY(),"Atrasado",IF(E467&lt;=EOMONTH(TODAY(),0),"Este mes","Pendiente"))))</f>
        <v/>
      </c>
      <c r="M467" s="20">
        <f>IF(OR($A467="",I467="Pagado"),"",HYPERLINK("https://wa.me/"&amp;IF(INDEX('Préstamos'!$C$2:$C$101,MATCH($A467,'Préstamos'!$A$2:$A$101,0))="","","51"&amp;SUBSTITUTE(INDEX('Préstamos'!$C$2:$C$101,MATCH($A467,'Préstamos'!$A$2:$A$101,0))," ",""))&amp;"?text="&amp;SUBSTITUTE("Hola "&amp;B467&amp;", te recuerdo que tu cuota de S/ "&amp;H467&amp;IF(E467&lt;TODAY()," vencio el "," vence el ")&amp;TEXT(E467,"dd/mm")&amp;". Gracias!"," ","%20"),"WhatsApp"))</f>
        <v/>
      </c>
    </row>
    <row r="468">
      <c r="A468" s="14" t="n"/>
      <c r="B468" s="16">
        <f>IF($A468="","",INDEX('Préstamos'!$B$2:$B$101,MATCH($A468,'Préstamos'!$A$2:$A$101,0)))</f>
        <v/>
      </c>
      <c r="C468" s="14" t="n"/>
      <c r="D468" s="14" t="n"/>
      <c r="E468" s="33" t="n"/>
      <c r="F468" s="29">
        <f>IF($A468="","",IF(D468="Solo interés",0,IF(AND(D468&lt;&gt;"Solo interés",C468=INDEX('Préstamos'!$G$2:$G$101,MATCH($A468,'Préstamos'!$A$2:$A$101,0))),INDEX('Préstamos'!$D$2:$D$101,MATCH($A468,'Préstamos'!$A$2:$A$101,0))-INDEX('Préstamos'!$J$2:$J$101,MATCH($A468,'Préstamos'!$A$2:$A$101,0))*(INDEX('Préstamos'!$G$2:$G$101,MATCH($A468,'Préstamos'!$A$2:$A$101,0))-1),INDEX('Préstamos'!$J$2:$J$101,MATCH($A468,'Préstamos'!$A$2:$A$101,0)))))</f>
        <v/>
      </c>
      <c r="G468" s="29">
        <f>IF($A468="","",IF(AND(D468&lt;&gt;"Solo interés",C468=INDEX('Préstamos'!$G$2:$G$101,MATCH($A468,'Préstamos'!$A$2:$A$101,0))),INDEX('Préstamos'!$I$2:$I$101,MATCH($A468,'Préstamos'!$A$2:$A$101,0))-INDEX('Préstamos'!$K$2:$K$101,MATCH($A468,'Préstamos'!$A$2:$A$101,0))*(INDEX('Préstamos'!$G$2:$G$101,MATCH($A468,'Préstamos'!$A$2:$A$101,0))-1),INDEX('Préstamos'!$K$2:$K$101,MATCH($A468,'Préstamos'!$A$2:$A$101,0))))</f>
        <v/>
      </c>
      <c r="H468" s="29">
        <f>IF($A468="","",F468+G468)</f>
        <v/>
      </c>
      <c r="I468" s="14" t="n"/>
      <c r="J468" s="33" t="n"/>
      <c r="K468" s="16">
        <f>IF(OR($A468="",I468="Pagado"),"",MAX(0,TODAY()-E468))</f>
        <v/>
      </c>
      <c r="L468" s="16">
        <f>IF($A468="","",IF(I468="Pagado","Pagado",IF(E468&lt;TODAY(),"Atrasado",IF(E468&lt;=EOMONTH(TODAY(),0),"Este mes","Pendiente"))))</f>
        <v/>
      </c>
      <c r="M468" s="20">
        <f>IF(OR($A468="",I468="Pagado"),"",HYPERLINK("https://wa.me/"&amp;IF(INDEX('Préstamos'!$C$2:$C$101,MATCH($A468,'Préstamos'!$A$2:$A$101,0))="","","51"&amp;SUBSTITUTE(INDEX('Préstamos'!$C$2:$C$101,MATCH($A468,'Préstamos'!$A$2:$A$101,0))," ",""))&amp;"?text="&amp;SUBSTITUTE("Hola "&amp;B468&amp;", te recuerdo que tu cuota de S/ "&amp;H468&amp;IF(E468&lt;TODAY()," vencio el "," vence el ")&amp;TEXT(E468,"dd/mm")&amp;". Gracias!"," ","%20"),"WhatsApp"))</f>
        <v/>
      </c>
    </row>
    <row r="469">
      <c r="A469" s="14" t="n"/>
      <c r="B469" s="16">
        <f>IF($A469="","",INDEX('Préstamos'!$B$2:$B$101,MATCH($A469,'Préstamos'!$A$2:$A$101,0)))</f>
        <v/>
      </c>
      <c r="C469" s="14" t="n"/>
      <c r="D469" s="14" t="n"/>
      <c r="E469" s="33" t="n"/>
      <c r="F469" s="29">
        <f>IF($A469="","",IF(D469="Solo interés",0,IF(AND(D469&lt;&gt;"Solo interés",C469=INDEX('Préstamos'!$G$2:$G$101,MATCH($A469,'Préstamos'!$A$2:$A$101,0))),INDEX('Préstamos'!$D$2:$D$101,MATCH($A469,'Préstamos'!$A$2:$A$101,0))-INDEX('Préstamos'!$J$2:$J$101,MATCH($A469,'Préstamos'!$A$2:$A$101,0))*(INDEX('Préstamos'!$G$2:$G$101,MATCH($A469,'Préstamos'!$A$2:$A$101,0))-1),INDEX('Préstamos'!$J$2:$J$101,MATCH($A469,'Préstamos'!$A$2:$A$101,0)))))</f>
        <v/>
      </c>
      <c r="G469" s="29">
        <f>IF($A469="","",IF(AND(D469&lt;&gt;"Solo interés",C469=INDEX('Préstamos'!$G$2:$G$101,MATCH($A469,'Préstamos'!$A$2:$A$101,0))),INDEX('Préstamos'!$I$2:$I$101,MATCH($A469,'Préstamos'!$A$2:$A$101,0))-INDEX('Préstamos'!$K$2:$K$101,MATCH($A469,'Préstamos'!$A$2:$A$101,0))*(INDEX('Préstamos'!$G$2:$G$101,MATCH($A469,'Préstamos'!$A$2:$A$101,0))-1),INDEX('Préstamos'!$K$2:$K$101,MATCH($A469,'Préstamos'!$A$2:$A$101,0))))</f>
        <v/>
      </c>
      <c r="H469" s="29">
        <f>IF($A469="","",F469+G469)</f>
        <v/>
      </c>
      <c r="I469" s="14" t="n"/>
      <c r="J469" s="33" t="n"/>
      <c r="K469" s="16">
        <f>IF(OR($A469="",I469="Pagado"),"",MAX(0,TODAY()-E469))</f>
        <v/>
      </c>
      <c r="L469" s="16">
        <f>IF($A469="","",IF(I469="Pagado","Pagado",IF(E469&lt;TODAY(),"Atrasado",IF(E469&lt;=EOMONTH(TODAY(),0),"Este mes","Pendiente"))))</f>
        <v/>
      </c>
      <c r="M469" s="20">
        <f>IF(OR($A469="",I469="Pagado"),"",HYPERLINK("https://wa.me/"&amp;IF(INDEX('Préstamos'!$C$2:$C$101,MATCH($A469,'Préstamos'!$A$2:$A$101,0))="","","51"&amp;SUBSTITUTE(INDEX('Préstamos'!$C$2:$C$101,MATCH($A469,'Préstamos'!$A$2:$A$101,0))," ",""))&amp;"?text="&amp;SUBSTITUTE("Hola "&amp;B469&amp;", te recuerdo que tu cuota de S/ "&amp;H469&amp;IF(E469&lt;TODAY()," vencio el "," vence el ")&amp;TEXT(E469,"dd/mm")&amp;". Gracias!"," ","%20"),"WhatsApp"))</f>
        <v/>
      </c>
    </row>
    <row r="470">
      <c r="A470" s="14" t="n"/>
      <c r="B470" s="16">
        <f>IF($A470="","",INDEX('Préstamos'!$B$2:$B$101,MATCH($A470,'Préstamos'!$A$2:$A$101,0)))</f>
        <v/>
      </c>
      <c r="C470" s="14" t="n"/>
      <c r="D470" s="14" t="n"/>
      <c r="E470" s="33" t="n"/>
      <c r="F470" s="29">
        <f>IF($A470="","",IF(D470="Solo interés",0,IF(AND(D470&lt;&gt;"Solo interés",C470=INDEX('Préstamos'!$G$2:$G$101,MATCH($A470,'Préstamos'!$A$2:$A$101,0))),INDEX('Préstamos'!$D$2:$D$101,MATCH($A470,'Préstamos'!$A$2:$A$101,0))-INDEX('Préstamos'!$J$2:$J$101,MATCH($A470,'Préstamos'!$A$2:$A$101,0))*(INDEX('Préstamos'!$G$2:$G$101,MATCH($A470,'Préstamos'!$A$2:$A$101,0))-1),INDEX('Préstamos'!$J$2:$J$101,MATCH($A470,'Préstamos'!$A$2:$A$101,0)))))</f>
        <v/>
      </c>
      <c r="G470" s="29">
        <f>IF($A470="","",IF(AND(D470&lt;&gt;"Solo interés",C470=INDEX('Préstamos'!$G$2:$G$101,MATCH($A470,'Préstamos'!$A$2:$A$101,0))),INDEX('Préstamos'!$I$2:$I$101,MATCH($A470,'Préstamos'!$A$2:$A$101,0))-INDEX('Préstamos'!$K$2:$K$101,MATCH($A470,'Préstamos'!$A$2:$A$101,0))*(INDEX('Préstamos'!$G$2:$G$101,MATCH($A470,'Préstamos'!$A$2:$A$101,0))-1),INDEX('Préstamos'!$K$2:$K$101,MATCH($A470,'Préstamos'!$A$2:$A$101,0))))</f>
        <v/>
      </c>
      <c r="H470" s="29">
        <f>IF($A470="","",F470+G470)</f>
        <v/>
      </c>
      <c r="I470" s="14" t="n"/>
      <c r="J470" s="33" t="n"/>
      <c r="K470" s="16">
        <f>IF(OR($A470="",I470="Pagado"),"",MAX(0,TODAY()-E470))</f>
        <v/>
      </c>
      <c r="L470" s="16">
        <f>IF($A470="","",IF(I470="Pagado","Pagado",IF(E470&lt;TODAY(),"Atrasado",IF(E470&lt;=EOMONTH(TODAY(),0),"Este mes","Pendiente"))))</f>
        <v/>
      </c>
      <c r="M470" s="20">
        <f>IF(OR($A470="",I470="Pagado"),"",HYPERLINK("https://wa.me/"&amp;IF(INDEX('Préstamos'!$C$2:$C$101,MATCH($A470,'Préstamos'!$A$2:$A$101,0))="","","51"&amp;SUBSTITUTE(INDEX('Préstamos'!$C$2:$C$101,MATCH($A470,'Préstamos'!$A$2:$A$101,0))," ",""))&amp;"?text="&amp;SUBSTITUTE("Hola "&amp;B470&amp;", te recuerdo que tu cuota de S/ "&amp;H470&amp;IF(E470&lt;TODAY()," vencio el "," vence el ")&amp;TEXT(E470,"dd/mm")&amp;". Gracias!"," ","%20"),"WhatsApp"))</f>
        <v/>
      </c>
    </row>
    <row r="471">
      <c r="A471" s="14" t="n"/>
      <c r="B471" s="16">
        <f>IF($A471="","",INDEX('Préstamos'!$B$2:$B$101,MATCH($A471,'Préstamos'!$A$2:$A$101,0)))</f>
        <v/>
      </c>
      <c r="C471" s="14" t="n"/>
      <c r="D471" s="14" t="n"/>
      <c r="E471" s="33" t="n"/>
      <c r="F471" s="29">
        <f>IF($A471="","",IF(D471="Solo interés",0,IF(AND(D471&lt;&gt;"Solo interés",C471=INDEX('Préstamos'!$G$2:$G$101,MATCH($A471,'Préstamos'!$A$2:$A$101,0))),INDEX('Préstamos'!$D$2:$D$101,MATCH($A471,'Préstamos'!$A$2:$A$101,0))-INDEX('Préstamos'!$J$2:$J$101,MATCH($A471,'Préstamos'!$A$2:$A$101,0))*(INDEX('Préstamos'!$G$2:$G$101,MATCH($A471,'Préstamos'!$A$2:$A$101,0))-1),INDEX('Préstamos'!$J$2:$J$101,MATCH($A471,'Préstamos'!$A$2:$A$101,0)))))</f>
        <v/>
      </c>
      <c r="G471" s="29">
        <f>IF($A471="","",IF(AND(D471&lt;&gt;"Solo interés",C471=INDEX('Préstamos'!$G$2:$G$101,MATCH($A471,'Préstamos'!$A$2:$A$101,0))),INDEX('Préstamos'!$I$2:$I$101,MATCH($A471,'Préstamos'!$A$2:$A$101,0))-INDEX('Préstamos'!$K$2:$K$101,MATCH($A471,'Préstamos'!$A$2:$A$101,0))*(INDEX('Préstamos'!$G$2:$G$101,MATCH($A471,'Préstamos'!$A$2:$A$101,0))-1),INDEX('Préstamos'!$K$2:$K$101,MATCH($A471,'Préstamos'!$A$2:$A$101,0))))</f>
        <v/>
      </c>
      <c r="H471" s="29">
        <f>IF($A471="","",F471+G471)</f>
        <v/>
      </c>
      <c r="I471" s="14" t="n"/>
      <c r="J471" s="33" t="n"/>
      <c r="K471" s="16">
        <f>IF(OR($A471="",I471="Pagado"),"",MAX(0,TODAY()-E471))</f>
        <v/>
      </c>
      <c r="L471" s="16">
        <f>IF($A471="","",IF(I471="Pagado","Pagado",IF(E471&lt;TODAY(),"Atrasado",IF(E471&lt;=EOMONTH(TODAY(),0),"Este mes","Pendiente"))))</f>
        <v/>
      </c>
      <c r="M471" s="20">
        <f>IF(OR($A471="",I471="Pagado"),"",HYPERLINK("https://wa.me/"&amp;IF(INDEX('Préstamos'!$C$2:$C$101,MATCH($A471,'Préstamos'!$A$2:$A$101,0))="","","51"&amp;SUBSTITUTE(INDEX('Préstamos'!$C$2:$C$101,MATCH($A471,'Préstamos'!$A$2:$A$101,0))," ",""))&amp;"?text="&amp;SUBSTITUTE("Hola "&amp;B471&amp;", te recuerdo que tu cuota de S/ "&amp;H471&amp;IF(E471&lt;TODAY()," vencio el "," vence el ")&amp;TEXT(E471,"dd/mm")&amp;". Gracias!"," ","%20"),"WhatsApp"))</f>
        <v/>
      </c>
    </row>
    <row r="472">
      <c r="A472" s="14" t="n"/>
      <c r="B472" s="16">
        <f>IF($A472="","",INDEX('Préstamos'!$B$2:$B$101,MATCH($A472,'Préstamos'!$A$2:$A$101,0)))</f>
        <v/>
      </c>
      <c r="C472" s="14" t="n"/>
      <c r="D472" s="14" t="n"/>
      <c r="E472" s="33" t="n"/>
      <c r="F472" s="29">
        <f>IF($A472="","",IF(D472="Solo interés",0,IF(AND(D472&lt;&gt;"Solo interés",C472=INDEX('Préstamos'!$G$2:$G$101,MATCH($A472,'Préstamos'!$A$2:$A$101,0))),INDEX('Préstamos'!$D$2:$D$101,MATCH($A472,'Préstamos'!$A$2:$A$101,0))-INDEX('Préstamos'!$J$2:$J$101,MATCH($A472,'Préstamos'!$A$2:$A$101,0))*(INDEX('Préstamos'!$G$2:$G$101,MATCH($A472,'Préstamos'!$A$2:$A$101,0))-1),INDEX('Préstamos'!$J$2:$J$101,MATCH($A472,'Préstamos'!$A$2:$A$101,0)))))</f>
        <v/>
      </c>
      <c r="G472" s="29">
        <f>IF($A472="","",IF(AND(D472&lt;&gt;"Solo interés",C472=INDEX('Préstamos'!$G$2:$G$101,MATCH($A472,'Préstamos'!$A$2:$A$101,0))),INDEX('Préstamos'!$I$2:$I$101,MATCH($A472,'Préstamos'!$A$2:$A$101,0))-INDEX('Préstamos'!$K$2:$K$101,MATCH($A472,'Préstamos'!$A$2:$A$101,0))*(INDEX('Préstamos'!$G$2:$G$101,MATCH($A472,'Préstamos'!$A$2:$A$101,0))-1),INDEX('Préstamos'!$K$2:$K$101,MATCH($A472,'Préstamos'!$A$2:$A$101,0))))</f>
        <v/>
      </c>
      <c r="H472" s="29">
        <f>IF($A472="","",F472+G472)</f>
        <v/>
      </c>
      <c r="I472" s="14" t="n"/>
      <c r="J472" s="33" t="n"/>
      <c r="K472" s="16">
        <f>IF(OR($A472="",I472="Pagado"),"",MAX(0,TODAY()-E472))</f>
        <v/>
      </c>
      <c r="L472" s="16">
        <f>IF($A472="","",IF(I472="Pagado","Pagado",IF(E472&lt;TODAY(),"Atrasado",IF(E472&lt;=EOMONTH(TODAY(),0),"Este mes","Pendiente"))))</f>
        <v/>
      </c>
      <c r="M472" s="20">
        <f>IF(OR($A472="",I472="Pagado"),"",HYPERLINK("https://wa.me/"&amp;IF(INDEX('Préstamos'!$C$2:$C$101,MATCH($A472,'Préstamos'!$A$2:$A$101,0))="","","51"&amp;SUBSTITUTE(INDEX('Préstamos'!$C$2:$C$101,MATCH($A472,'Préstamos'!$A$2:$A$101,0))," ",""))&amp;"?text="&amp;SUBSTITUTE("Hola "&amp;B472&amp;", te recuerdo que tu cuota de S/ "&amp;H472&amp;IF(E472&lt;TODAY()," vencio el "," vence el ")&amp;TEXT(E472,"dd/mm")&amp;". Gracias!"," ","%20"),"WhatsApp"))</f>
        <v/>
      </c>
    </row>
    <row r="473">
      <c r="A473" s="14" t="n"/>
      <c r="B473" s="16">
        <f>IF($A473="","",INDEX('Préstamos'!$B$2:$B$101,MATCH($A473,'Préstamos'!$A$2:$A$101,0)))</f>
        <v/>
      </c>
      <c r="C473" s="14" t="n"/>
      <c r="D473" s="14" t="n"/>
      <c r="E473" s="33" t="n"/>
      <c r="F473" s="29">
        <f>IF($A473="","",IF(D473="Solo interés",0,IF(AND(D473&lt;&gt;"Solo interés",C473=INDEX('Préstamos'!$G$2:$G$101,MATCH($A473,'Préstamos'!$A$2:$A$101,0))),INDEX('Préstamos'!$D$2:$D$101,MATCH($A473,'Préstamos'!$A$2:$A$101,0))-INDEX('Préstamos'!$J$2:$J$101,MATCH($A473,'Préstamos'!$A$2:$A$101,0))*(INDEX('Préstamos'!$G$2:$G$101,MATCH($A473,'Préstamos'!$A$2:$A$101,0))-1),INDEX('Préstamos'!$J$2:$J$101,MATCH($A473,'Préstamos'!$A$2:$A$101,0)))))</f>
        <v/>
      </c>
      <c r="G473" s="29">
        <f>IF($A473="","",IF(AND(D473&lt;&gt;"Solo interés",C473=INDEX('Préstamos'!$G$2:$G$101,MATCH($A473,'Préstamos'!$A$2:$A$101,0))),INDEX('Préstamos'!$I$2:$I$101,MATCH($A473,'Préstamos'!$A$2:$A$101,0))-INDEX('Préstamos'!$K$2:$K$101,MATCH($A473,'Préstamos'!$A$2:$A$101,0))*(INDEX('Préstamos'!$G$2:$G$101,MATCH($A473,'Préstamos'!$A$2:$A$101,0))-1),INDEX('Préstamos'!$K$2:$K$101,MATCH($A473,'Préstamos'!$A$2:$A$101,0))))</f>
        <v/>
      </c>
      <c r="H473" s="29">
        <f>IF($A473="","",F473+G473)</f>
        <v/>
      </c>
      <c r="I473" s="14" t="n"/>
      <c r="J473" s="33" t="n"/>
      <c r="K473" s="16">
        <f>IF(OR($A473="",I473="Pagado"),"",MAX(0,TODAY()-E473))</f>
        <v/>
      </c>
      <c r="L473" s="16">
        <f>IF($A473="","",IF(I473="Pagado","Pagado",IF(E473&lt;TODAY(),"Atrasado",IF(E473&lt;=EOMONTH(TODAY(),0),"Este mes","Pendiente"))))</f>
        <v/>
      </c>
      <c r="M473" s="20">
        <f>IF(OR($A473="",I473="Pagado"),"",HYPERLINK("https://wa.me/"&amp;IF(INDEX('Préstamos'!$C$2:$C$101,MATCH($A473,'Préstamos'!$A$2:$A$101,0))="","","51"&amp;SUBSTITUTE(INDEX('Préstamos'!$C$2:$C$101,MATCH($A473,'Préstamos'!$A$2:$A$101,0))," ",""))&amp;"?text="&amp;SUBSTITUTE("Hola "&amp;B473&amp;", te recuerdo que tu cuota de S/ "&amp;H473&amp;IF(E473&lt;TODAY()," vencio el "," vence el ")&amp;TEXT(E473,"dd/mm")&amp;". Gracias!"," ","%20"),"WhatsApp"))</f>
        <v/>
      </c>
    </row>
    <row r="474">
      <c r="A474" s="14" t="n"/>
      <c r="B474" s="16">
        <f>IF($A474="","",INDEX('Préstamos'!$B$2:$B$101,MATCH($A474,'Préstamos'!$A$2:$A$101,0)))</f>
        <v/>
      </c>
      <c r="C474" s="14" t="n"/>
      <c r="D474" s="14" t="n"/>
      <c r="E474" s="33" t="n"/>
      <c r="F474" s="29">
        <f>IF($A474="","",IF(D474="Solo interés",0,IF(AND(D474&lt;&gt;"Solo interés",C474=INDEX('Préstamos'!$G$2:$G$101,MATCH($A474,'Préstamos'!$A$2:$A$101,0))),INDEX('Préstamos'!$D$2:$D$101,MATCH($A474,'Préstamos'!$A$2:$A$101,0))-INDEX('Préstamos'!$J$2:$J$101,MATCH($A474,'Préstamos'!$A$2:$A$101,0))*(INDEX('Préstamos'!$G$2:$G$101,MATCH($A474,'Préstamos'!$A$2:$A$101,0))-1),INDEX('Préstamos'!$J$2:$J$101,MATCH($A474,'Préstamos'!$A$2:$A$101,0)))))</f>
        <v/>
      </c>
      <c r="G474" s="29">
        <f>IF($A474="","",IF(AND(D474&lt;&gt;"Solo interés",C474=INDEX('Préstamos'!$G$2:$G$101,MATCH($A474,'Préstamos'!$A$2:$A$101,0))),INDEX('Préstamos'!$I$2:$I$101,MATCH($A474,'Préstamos'!$A$2:$A$101,0))-INDEX('Préstamos'!$K$2:$K$101,MATCH($A474,'Préstamos'!$A$2:$A$101,0))*(INDEX('Préstamos'!$G$2:$G$101,MATCH($A474,'Préstamos'!$A$2:$A$101,0))-1),INDEX('Préstamos'!$K$2:$K$101,MATCH($A474,'Préstamos'!$A$2:$A$101,0))))</f>
        <v/>
      </c>
      <c r="H474" s="29">
        <f>IF($A474="","",F474+G474)</f>
        <v/>
      </c>
      <c r="I474" s="14" t="n"/>
      <c r="J474" s="33" t="n"/>
      <c r="K474" s="16">
        <f>IF(OR($A474="",I474="Pagado"),"",MAX(0,TODAY()-E474))</f>
        <v/>
      </c>
      <c r="L474" s="16">
        <f>IF($A474="","",IF(I474="Pagado","Pagado",IF(E474&lt;TODAY(),"Atrasado",IF(E474&lt;=EOMONTH(TODAY(),0),"Este mes","Pendiente"))))</f>
        <v/>
      </c>
      <c r="M474" s="20">
        <f>IF(OR($A474="",I474="Pagado"),"",HYPERLINK("https://wa.me/"&amp;IF(INDEX('Préstamos'!$C$2:$C$101,MATCH($A474,'Préstamos'!$A$2:$A$101,0))="","","51"&amp;SUBSTITUTE(INDEX('Préstamos'!$C$2:$C$101,MATCH($A474,'Préstamos'!$A$2:$A$101,0))," ",""))&amp;"?text="&amp;SUBSTITUTE("Hola "&amp;B474&amp;", te recuerdo que tu cuota de S/ "&amp;H474&amp;IF(E474&lt;TODAY()," vencio el "," vence el ")&amp;TEXT(E474,"dd/mm")&amp;". Gracias!"," ","%20"),"WhatsApp"))</f>
        <v/>
      </c>
    </row>
    <row r="475">
      <c r="A475" s="14" t="n"/>
      <c r="B475" s="16">
        <f>IF($A475="","",INDEX('Préstamos'!$B$2:$B$101,MATCH($A475,'Préstamos'!$A$2:$A$101,0)))</f>
        <v/>
      </c>
      <c r="C475" s="14" t="n"/>
      <c r="D475" s="14" t="n"/>
      <c r="E475" s="33" t="n"/>
      <c r="F475" s="29">
        <f>IF($A475="","",IF(D475="Solo interés",0,IF(AND(D475&lt;&gt;"Solo interés",C475=INDEX('Préstamos'!$G$2:$G$101,MATCH($A475,'Préstamos'!$A$2:$A$101,0))),INDEX('Préstamos'!$D$2:$D$101,MATCH($A475,'Préstamos'!$A$2:$A$101,0))-INDEX('Préstamos'!$J$2:$J$101,MATCH($A475,'Préstamos'!$A$2:$A$101,0))*(INDEX('Préstamos'!$G$2:$G$101,MATCH($A475,'Préstamos'!$A$2:$A$101,0))-1),INDEX('Préstamos'!$J$2:$J$101,MATCH($A475,'Préstamos'!$A$2:$A$101,0)))))</f>
        <v/>
      </c>
      <c r="G475" s="29">
        <f>IF($A475="","",IF(AND(D475&lt;&gt;"Solo interés",C475=INDEX('Préstamos'!$G$2:$G$101,MATCH($A475,'Préstamos'!$A$2:$A$101,0))),INDEX('Préstamos'!$I$2:$I$101,MATCH($A475,'Préstamos'!$A$2:$A$101,0))-INDEX('Préstamos'!$K$2:$K$101,MATCH($A475,'Préstamos'!$A$2:$A$101,0))*(INDEX('Préstamos'!$G$2:$G$101,MATCH($A475,'Préstamos'!$A$2:$A$101,0))-1),INDEX('Préstamos'!$K$2:$K$101,MATCH($A475,'Préstamos'!$A$2:$A$101,0))))</f>
        <v/>
      </c>
      <c r="H475" s="29">
        <f>IF($A475="","",F475+G475)</f>
        <v/>
      </c>
      <c r="I475" s="14" t="n"/>
      <c r="J475" s="33" t="n"/>
      <c r="K475" s="16">
        <f>IF(OR($A475="",I475="Pagado"),"",MAX(0,TODAY()-E475))</f>
        <v/>
      </c>
      <c r="L475" s="16">
        <f>IF($A475="","",IF(I475="Pagado","Pagado",IF(E475&lt;TODAY(),"Atrasado",IF(E475&lt;=EOMONTH(TODAY(),0),"Este mes","Pendiente"))))</f>
        <v/>
      </c>
      <c r="M475" s="20">
        <f>IF(OR($A475="",I475="Pagado"),"",HYPERLINK("https://wa.me/"&amp;IF(INDEX('Préstamos'!$C$2:$C$101,MATCH($A475,'Préstamos'!$A$2:$A$101,0))="","","51"&amp;SUBSTITUTE(INDEX('Préstamos'!$C$2:$C$101,MATCH($A475,'Préstamos'!$A$2:$A$101,0))," ",""))&amp;"?text="&amp;SUBSTITUTE("Hola "&amp;B475&amp;", te recuerdo que tu cuota de S/ "&amp;H475&amp;IF(E475&lt;TODAY()," vencio el "," vence el ")&amp;TEXT(E475,"dd/mm")&amp;". Gracias!"," ","%20"),"WhatsApp"))</f>
        <v/>
      </c>
    </row>
    <row r="476">
      <c r="A476" s="14" t="n"/>
      <c r="B476" s="16">
        <f>IF($A476="","",INDEX('Préstamos'!$B$2:$B$101,MATCH($A476,'Préstamos'!$A$2:$A$101,0)))</f>
        <v/>
      </c>
      <c r="C476" s="14" t="n"/>
      <c r="D476" s="14" t="n"/>
      <c r="E476" s="33" t="n"/>
      <c r="F476" s="29">
        <f>IF($A476="","",IF(D476="Solo interés",0,IF(AND(D476&lt;&gt;"Solo interés",C476=INDEX('Préstamos'!$G$2:$G$101,MATCH($A476,'Préstamos'!$A$2:$A$101,0))),INDEX('Préstamos'!$D$2:$D$101,MATCH($A476,'Préstamos'!$A$2:$A$101,0))-INDEX('Préstamos'!$J$2:$J$101,MATCH($A476,'Préstamos'!$A$2:$A$101,0))*(INDEX('Préstamos'!$G$2:$G$101,MATCH($A476,'Préstamos'!$A$2:$A$101,0))-1),INDEX('Préstamos'!$J$2:$J$101,MATCH($A476,'Préstamos'!$A$2:$A$101,0)))))</f>
        <v/>
      </c>
      <c r="G476" s="29">
        <f>IF($A476="","",IF(AND(D476&lt;&gt;"Solo interés",C476=INDEX('Préstamos'!$G$2:$G$101,MATCH($A476,'Préstamos'!$A$2:$A$101,0))),INDEX('Préstamos'!$I$2:$I$101,MATCH($A476,'Préstamos'!$A$2:$A$101,0))-INDEX('Préstamos'!$K$2:$K$101,MATCH($A476,'Préstamos'!$A$2:$A$101,0))*(INDEX('Préstamos'!$G$2:$G$101,MATCH($A476,'Préstamos'!$A$2:$A$101,0))-1),INDEX('Préstamos'!$K$2:$K$101,MATCH($A476,'Préstamos'!$A$2:$A$101,0))))</f>
        <v/>
      </c>
      <c r="H476" s="29">
        <f>IF($A476="","",F476+G476)</f>
        <v/>
      </c>
      <c r="I476" s="14" t="n"/>
      <c r="J476" s="33" t="n"/>
      <c r="K476" s="16">
        <f>IF(OR($A476="",I476="Pagado"),"",MAX(0,TODAY()-E476))</f>
        <v/>
      </c>
      <c r="L476" s="16">
        <f>IF($A476="","",IF(I476="Pagado","Pagado",IF(E476&lt;TODAY(),"Atrasado",IF(E476&lt;=EOMONTH(TODAY(),0),"Este mes","Pendiente"))))</f>
        <v/>
      </c>
      <c r="M476" s="20">
        <f>IF(OR($A476="",I476="Pagado"),"",HYPERLINK("https://wa.me/"&amp;IF(INDEX('Préstamos'!$C$2:$C$101,MATCH($A476,'Préstamos'!$A$2:$A$101,0))="","","51"&amp;SUBSTITUTE(INDEX('Préstamos'!$C$2:$C$101,MATCH($A476,'Préstamos'!$A$2:$A$101,0))," ",""))&amp;"?text="&amp;SUBSTITUTE("Hola "&amp;B476&amp;", te recuerdo que tu cuota de S/ "&amp;H476&amp;IF(E476&lt;TODAY()," vencio el "," vence el ")&amp;TEXT(E476,"dd/mm")&amp;". Gracias!"," ","%20"),"WhatsApp"))</f>
        <v/>
      </c>
    </row>
    <row r="477">
      <c r="A477" s="14" t="n"/>
      <c r="B477" s="16">
        <f>IF($A477="","",INDEX('Préstamos'!$B$2:$B$101,MATCH($A477,'Préstamos'!$A$2:$A$101,0)))</f>
        <v/>
      </c>
      <c r="C477" s="14" t="n"/>
      <c r="D477" s="14" t="n"/>
      <c r="E477" s="33" t="n"/>
      <c r="F477" s="29">
        <f>IF($A477="","",IF(D477="Solo interés",0,IF(AND(D477&lt;&gt;"Solo interés",C477=INDEX('Préstamos'!$G$2:$G$101,MATCH($A477,'Préstamos'!$A$2:$A$101,0))),INDEX('Préstamos'!$D$2:$D$101,MATCH($A477,'Préstamos'!$A$2:$A$101,0))-INDEX('Préstamos'!$J$2:$J$101,MATCH($A477,'Préstamos'!$A$2:$A$101,0))*(INDEX('Préstamos'!$G$2:$G$101,MATCH($A477,'Préstamos'!$A$2:$A$101,0))-1),INDEX('Préstamos'!$J$2:$J$101,MATCH($A477,'Préstamos'!$A$2:$A$101,0)))))</f>
        <v/>
      </c>
      <c r="G477" s="29">
        <f>IF($A477="","",IF(AND(D477&lt;&gt;"Solo interés",C477=INDEX('Préstamos'!$G$2:$G$101,MATCH($A477,'Préstamos'!$A$2:$A$101,0))),INDEX('Préstamos'!$I$2:$I$101,MATCH($A477,'Préstamos'!$A$2:$A$101,0))-INDEX('Préstamos'!$K$2:$K$101,MATCH($A477,'Préstamos'!$A$2:$A$101,0))*(INDEX('Préstamos'!$G$2:$G$101,MATCH($A477,'Préstamos'!$A$2:$A$101,0))-1),INDEX('Préstamos'!$K$2:$K$101,MATCH($A477,'Préstamos'!$A$2:$A$101,0))))</f>
        <v/>
      </c>
      <c r="H477" s="29">
        <f>IF($A477="","",F477+G477)</f>
        <v/>
      </c>
      <c r="I477" s="14" t="n"/>
      <c r="J477" s="33" t="n"/>
      <c r="K477" s="16">
        <f>IF(OR($A477="",I477="Pagado"),"",MAX(0,TODAY()-E477))</f>
        <v/>
      </c>
      <c r="L477" s="16">
        <f>IF($A477="","",IF(I477="Pagado","Pagado",IF(E477&lt;TODAY(),"Atrasado",IF(E477&lt;=EOMONTH(TODAY(),0),"Este mes","Pendiente"))))</f>
        <v/>
      </c>
      <c r="M477" s="20">
        <f>IF(OR($A477="",I477="Pagado"),"",HYPERLINK("https://wa.me/"&amp;IF(INDEX('Préstamos'!$C$2:$C$101,MATCH($A477,'Préstamos'!$A$2:$A$101,0))="","","51"&amp;SUBSTITUTE(INDEX('Préstamos'!$C$2:$C$101,MATCH($A477,'Préstamos'!$A$2:$A$101,0))," ",""))&amp;"?text="&amp;SUBSTITUTE("Hola "&amp;B477&amp;", te recuerdo que tu cuota de S/ "&amp;H477&amp;IF(E477&lt;TODAY()," vencio el "," vence el ")&amp;TEXT(E477,"dd/mm")&amp;". Gracias!"," ","%20"),"WhatsApp"))</f>
        <v/>
      </c>
    </row>
    <row r="478">
      <c r="A478" s="14" t="n"/>
      <c r="B478" s="16">
        <f>IF($A478="","",INDEX('Préstamos'!$B$2:$B$101,MATCH($A478,'Préstamos'!$A$2:$A$101,0)))</f>
        <v/>
      </c>
      <c r="C478" s="14" t="n"/>
      <c r="D478" s="14" t="n"/>
      <c r="E478" s="33" t="n"/>
      <c r="F478" s="29">
        <f>IF($A478="","",IF(D478="Solo interés",0,IF(AND(D478&lt;&gt;"Solo interés",C478=INDEX('Préstamos'!$G$2:$G$101,MATCH($A478,'Préstamos'!$A$2:$A$101,0))),INDEX('Préstamos'!$D$2:$D$101,MATCH($A478,'Préstamos'!$A$2:$A$101,0))-INDEX('Préstamos'!$J$2:$J$101,MATCH($A478,'Préstamos'!$A$2:$A$101,0))*(INDEX('Préstamos'!$G$2:$G$101,MATCH($A478,'Préstamos'!$A$2:$A$101,0))-1),INDEX('Préstamos'!$J$2:$J$101,MATCH($A478,'Préstamos'!$A$2:$A$101,0)))))</f>
        <v/>
      </c>
      <c r="G478" s="29">
        <f>IF($A478="","",IF(AND(D478&lt;&gt;"Solo interés",C478=INDEX('Préstamos'!$G$2:$G$101,MATCH($A478,'Préstamos'!$A$2:$A$101,0))),INDEX('Préstamos'!$I$2:$I$101,MATCH($A478,'Préstamos'!$A$2:$A$101,0))-INDEX('Préstamos'!$K$2:$K$101,MATCH($A478,'Préstamos'!$A$2:$A$101,0))*(INDEX('Préstamos'!$G$2:$G$101,MATCH($A478,'Préstamos'!$A$2:$A$101,0))-1),INDEX('Préstamos'!$K$2:$K$101,MATCH($A478,'Préstamos'!$A$2:$A$101,0))))</f>
        <v/>
      </c>
      <c r="H478" s="29">
        <f>IF($A478="","",F478+G478)</f>
        <v/>
      </c>
      <c r="I478" s="14" t="n"/>
      <c r="J478" s="33" t="n"/>
      <c r="K478" s="16">
        <f>IF(OR($A478="",I478="Pagado"),"",MAX(0,TODAY()-E478))</f>
        <v/>
      </c>
      <c r="L478" s="16">
        <f>IF($A478="","",IF(I478="Pagado","Pagado",IF(E478&lt;TODAY(),"Atrasado",IF(E478&lt;=EOMONTH(TODAY(),0),"Este mes","Pendiente"))))</f>
        <v/>
      </c>
      <c r="M478" s="20">
        <f>IF(OR($A478="",I478="Pagado"),"",HYPERLINK("https://wa.me/"&amp;IF(INDEX('Préstamos'!$C$2:$C$101,MATCH($A478,'Préstamos'!$A$2:$A$101,0))="","","51"&amp;SUBSTITUTE(INDEX('Préstamos'!$C$2:$C$101,MATCH($A478,'Préstamos'!$A$2:$A$101,0))," ",""))&amp;"?text="&amp;SUBSTITUTE("Hola "&amp;B478&amp;", te recuerdo que tu cuota de S/ "&amp;H478&amp;IF(E478&lt;TODAY()," vencio el "," vence el ")&amp;TEXT(E478,"dd/mm")&amp;". Gracias!"," ","%20"),"WhatsApp"))</f>
        <v/>
      </c>
    </row>
    <row r="479">
      <c r="A479" s="14" t="n"/>
      <c r="B479" s="16">
        <f>IF($A479="","",INDEX('Préstamos'!$B$2:$B$101,MATCH($A479,'Préstamos'!$A$2:$A$101,0)))</f>
        <v/>
      </c>
      <c r="C479" s="14" t="n"/>
      <c r="D479" s="14" t="n"/>
      <c r="E479" s="33" t="n"/>
      <c r="F479" s="29">
        <f>IF($A479="","",IF(D479="Solo interés",0,IF(AND(D479&lt;&gt;"Solo interés",C479=INDEX('Préstamos'!$G$2:$G$101,MATCH($A479,'Préstamos'!$A$2:$A$101,0))),INDEX('Préstamos'!$D$2:$D$101,MATCH($A479,'Préstamos'!$A$2:$A$101,0))-INDEX('Préstamos'!$J$2:$J$101,MATCH($A479,'Préstamos'!$A$2:$A$101,0))*(INDEX('Préstamos'!$G$2:$G$101,MATCH($A479,'Préstamos'!$A$2:$A$101,0))-1),INDEX('Préstamos'!$J$2:$J$101,MATCH($A479,'Préstamos'!$A$2:$A$101,0)))))</f>
        <v/>
      </c>
      <c r="G479" s="29">
        <f>IF($A479="","",IF(AND(D479&lt;&gt;"Solo interés",C479=INDEX('Préstamos'!$G$2:$G$101,MATCH($A479,'Préstamos'!$A$2:$A$101,0))),INDEX('Préstamos'!$I$2:$I$101,MATCH($A479,'Préstamos'!$A$2:$A$101,0))-INDEX('Préstamos'!$K$2:$K$101,MATCH($A479,'Préstamos'!$A$2:$A$101,0))*(INDEX('Préstamos'!$G$2:$G$101,MATCH($A479,'Préstamos'!$A$2:$A$101,0))-1),INDEX('Préstamos'!$K$2:$K$101,MATCH($A479,'Préstamos'!$A$2:$A$101,0))))</f>
        <v/>
      </c>
      <c r="H479" s="29">
        <f>IF($A479="","",F479+G479)</f>
        <v/>
      </c>
      <c r="I479" s="14" t="n"/>
      <c r="J479" s="33" t="n"/>
      <c r="K479" s="16">
        <f>IF(OR($A479="",I479="Pagado"),"",MAX(0,TODAY()-E479))</f>
        <v/>
      </c>
      <c r="L479" s="16">
        <f>IF($A479="","",IF(I479="Pagado","Pagado",IF(E479&lt;TODAY(),"Atrasado",IF(E479&lt;=EOMONTH(TODAY(),0),"Este mes","Pendiente"))))</f>
        <v/>
      </c>
      <c r="M479" s="20">
        <f>IF(OR($A479="",I479="Pagado"),"",HYPERLINK("https://wa.me/"&amp;IF(INDEX('Préstamos'!$C$2:$C$101,MATCH($A479,'Préstamos'!$A$2:$A$101,0))="","","51"&amp;SUBSTITUTE(INDEX('Préstamos'!$C$2:$C$101,MATCH($A479,'Préstamos'!$A$2:$A$101,0))," ",""))&amp;"?text="&amp;SUBSTITUTE("Hola "&amp;B479&amp;", te recuerdo que tu cuota de S/ "&amp;H479&amp;IF(E479&lt;TODAY()," vencio el "," vence el ")&amp;TEXT(E479,"dd/mm")&amp;". Gracias!"," ","%20"),"WhatsApp"))</f>
        <v/>
      </c>
    </row>
    <row r="480">
      <c r="A480" s="14" t="n"/>
      <c r="B480" s="16">
        <f>IF($A480="","",INDEX('Préstamos'!$B$2:$B$101,MATCH($A480,'Préstamos'!$A$2:$A$101,0)))</f>
        <v/>
      </c>
      <c r="C480" s="14" t="n"/>
      <c r="D480" s="14" t="n"/>
      <c r="E480" s="33" t="n"/>
      <c r="F480" s="29">
        <f>IF($A480="","",IF(D480="Solo interés",0,IF(AND(D480&lt;&gt;"Solo interés",C480=INDEX('Préstamos'!$G$2:$G$101,MATCH($A480,'Préstamos'!$A$2:$A$101,0))),INDEX('Préstamos'!$D$2:$D$101,MATCH($A480,'Préstamos'!$A$2:$A$101,0))-INDEX('Préstamos'!$J$2:$J$101,MATCH($A480,'Préstamos'!$A$2:$A$101,0))*(INDEX('Préstamos'!$G$2:$G$101,MATCH($A480,'Préstamos'!$A$2:$A$101,0))-1),INDEX('Préstamos'!$J$2:$J$101,MATCH($A480,'Préstamos'!$A$2:$A$101,0)))))</f>
        <v/>
      </c>
      <c r="G480" s="29">
        <f>IF($A480="","",IF(AND(D480&lt;&gt;"Solo interés",C480=INDEX('Préstamos'!$G$2:$G$101,MATCH($A480,'Préstamos'!$A$2:$A$101,0))),INDEX('Préstamos'!$I$2:$I$101,MATCH($A480,'Préstamos'!$A$2:$A$101,0))-INDEX('Préstamos'!$K$2:$K$101,MATCH($A480,'Préstamos'!$A$2:$A$101,0))*(INDEX('Préstamos'!$G$2:$G$101,MATCH($A480,'Préstamos'!$A$2:$A$101,0))-1),INDEX('Préstamos'!$K$2:$K$101,MATCH($A480,'Préstamos'!$A$2:$A$101,0))))</f>
        <v/>
      </c>
      <c r="H480" s="29">
        <f>IF($A480="","",F480+G480)</f>
        <v/>
      </c>
      <c r="I480" s="14" t="n"/>
      <c r="J480" s="33" t="n"/>
      <c r="K480" s="16">
        <f>IF(OR($A480="",I480="Pagado"),"",MAX(0,TODAY()-E480))</f>
        <v/>
      </c>
      <c r="L480" s="16">
        <f>IF($A480="","",IF(I480="Pagado","Pagado",IF(E480&lt;TODAY(),"Atrasado",IF(E480&lt;=EOMONTH(TODAY(),0),"Este mes","Pendiente"))))</f>
        <v/>
      </c>
      <c r="M480" s="20">
        <f>IF(OR($A480="",I480="Pagado"),"",HYPERLINK("https://wa.me/"&amp;IF(INDEX('Préstamos'!$C$2:$C$101,MATCH($A480,'Préstamos'!$A$2:$A$101,0))="","","51"&amp;SUBSTITUTE(INDEX('Préstamos'!$C$2:$C$101,MATCH($A480,'Préstamos'!$A$2:$A$101,0))," ",""))&amp;"?text="&amp;SUBSTITUTE("Hola "&amp;B480&amp;", te recuerdo que tu cuota de S/ "&amp;H480&amp;IF(E480&lt;TODAY()," vencio el "," vence el ")&amp;TEXT(E480,"dd/mm")&amp;". Gracias!"," ","%20"),"WhatsApp"))</f>
        <v/>
      </c>
    </row>
    <row r="481">
      <c r="A481" s="14" t="n"/>
      <c r="B481" s="16">
        <f>IF($A481="","",INDEX('Préstamos'!$B$2:$B$101,MATCH($A481,'Préstamos'!$A$2:$A$101,0)))</f>
        <v/>
      </c>
      <c r="C481" s="14" t="n"/>
      <c r="D481" s="14" t="n"/>
      <c r="E481" s="33" t="n"/>
      <c r="F481" s="29">
        <f>IF($A481="","",IF(D481="Solo interés",0,IF(AND(D481&lt;&gt;"Solo interés",C481=INDEX('Préstamos'!$G$2:$G$101,MATCH($A481,'Préstamos'!$A$2:$A$101,0))),INDEX('Préstamos'!$D$2:$D$101,MATCH($A481,'Préstamos'!$A$2:$A$101,0))-INDEX('Préstamos'!$J$2:$J$101,MATCH($A481,'Préstamos'!$A$2:$A$101,0))*(INDEX('Préstamos'!$G$2:$G$101,MATCH($A481,'Préstamos'!$A$2:$A$101,0))-1),INDEX('Préstamos'!$J$2:$J$101,MATCH($A481,'Préstamos'!$A$2:$A$101,0)))))</f>
        <v/>
      </c>
      <c r="G481" s="29">
        <f>IF($A481="","",IF(AND(D481&lt;&gt;"Solo interés",C481=INDEX('Préstamos'!$G$2:$G$101,MATCH($A481,'Préstamos'!$A$2:$A$101,0))),INDEX('Préstamos'!$I$2:$I$101,MATCH($A481,'Préstamos'!$A$2:$A$101,0))-INDEX('Préstamos'!$K$2:$K$101,MATCH($A481,'Préstamos'!$A$2:$A$101,0))*(INDEX('Préstamos'!$G$2:$G$101,MATCH($A481,'Préstamos'!$A$2:$A$101,0))-1),INDEX('Préstamos'!$K$2:$K$101,MATCH($A481,'Préstamos'!$A$2:$A$101,0))))</f>
        <v/>
      </c>
      <c r="H481" s="29">
        <f>IF($A481="","",F481+G481)</f>
        <v/>
      </c>
      <c r="I481" s="14" t="n"/>
      <c r="J481" s="33" t="n"/>
      <c r="K481" s="16">
        <f>IF(OR($A481="",I481="Pagado"),"",MAX(0,TODAY()-E481))</f>
        <v/>
      </c>
      <c r="L481" s="16">
        <f>IF($A481="","",IF(I481="Pagado","Pagado",IF(E481&lt;TODAY(),"Atrasado",IF(E481&lt;=EOMONTH(TODAY(),0),"Este mes","Pendiente"))))</f>
        <v/>
      </c>
      <c r="M481" s="20">
        <f>IF(OR($A481="",I481="Pagado"),"",HYPERLINK("https://wa.me/"&amp;IF(INDEX('Préstamos'!$C$2:$C$101,MATCH($A481,'Préstamos'!$A$2:$A$101,0))="","","51"&amp;SUBSTITUTE(INDEX('Préstamos'!$C$2:$C$101,MATCH($A481,'Préstamos'!$A$2:$A$101,0))," ",""))&amp;"?text="&amp;SUBSTITUTE("Hola "&amp;B481&amp;", te recuerdo que tu cuota de S/ "&amp;H481&amp;IF(E481&lt;TODAY()," vencio el "," vence el ")&amp;TEXT(E481,"dd/mm")&amp;". Gracias!"," ","%20"),"WhatsApp"))</f>
        <v/>
      </c>
    </row>
    <row r="482">
      <c r="A482" s="14" t="n"/>
      <c r="B482" s="16">
        <f>IF($A482="","",INDEX('Préstamos'!$B$2:$B$101,MATCH($A482,'Préstamos'!$A$2:$A$101,0)))</f>
        <v/>
      </c>
      <c r="C482" s="14" t="n"/>
      <c r="D482" s="14" t="n"/>
      <c r="E482" s="33" t="n"/>
      <c r="F482" s="29">
        <f>IF($A482="","",IF(D482="Solo interés",0,IF(AND(D482&lt;&gt;"Solo interés",C482=INDEX('Préstamos'!$G$2:$G$101,MATCH($A482,'Préstamos'!$A$2:$A$101,0))),INDEX('Préstamos'!$D$2:$D$101,MATCH($A482,'Préstamos'!$A$2:$A$101,0))-INDEX('Préstamos'!$J$2:$J$101,MATCH($A482,'Préstamos'!$A$2:$A$101,0))*(INDEX('Préstamos'!$G$2:$G$101,MATCH($A482,'Préstamos'!$A$2:$A$101,0))-1),INDEX('Préstamos'!$J$2:$J$101,MATCH($A482,'Préstamos'!$A$2:$A$101,0)))))</f>
        <v/>
      </c>
      <c r="G482" s="29">
        <f>IF($A482="","",IF(AND(D482&lt;&gt;"Solo interés",C482=INDEX('Préstamos'!$G$2:$G$101,MATCH($A482,'Préstamos'!$A$2:$A$101,0))),INDEX('Préstamos'!$I$2:$I$101,MATCH($A482,'Préstamos'!$A$2:$A$101,0))-INDEX('Préstamos'!$K$2:$K$101,MATCH($A482,'Préstamos'!$A$2:$A$101,0))*(INDEX('Préstamos'!$G$2:$G$101,MATCH($A482,'Préstamos'!$A$2:$A$101,0))-1),INDEX('Préstamos'!$K$2:$K$101,MATCH($A482,'Préstamos'!$A$2:$A$101,0))))</f>
        <v/>
      </c>
      <c r="H482" s="29">
        <f>IF($A482="","",F482+G482)</f>
        <v/>
      </c>
      <c r="I482" s="14" t="n"/>
      <c r="J482" s="33" t="n"/>
      <c r="K482" s="16">
        <f>IF(OR($A482="",I482="Pagado"),"",MAX(0,TODAY()-E482))</f>
        <v/>
      </c>
      <c r="L482" s="16">
        <f>IF($A482="","",IF(I482="Pagado","Pagado",IF(E482&lt;TODAY(),"Atrasado",IF(E482&lt;=EOMONTH(TODAY(),0),"Este mes","Pendiente"))))</f>
        <v/>
      </c>
      <c r="M482" s="20">
        <f>IF(OR($A482="",I482="Pagado"),"",HYPERLINK("https://wa.me/"&amp;IF(INDEX('Préstamos'!$C$2:$C$101,MATCH($A482,'Préstamos'!$A$2:$A$101,0))="","","51"&amp;SUBSTITUTE(INDEX('Préstamos'!$C$2:$C$101,MATCH($A482,'Préstamos'!$A$2:$A$101,0))," ",""))&amp;"?text="&amp;SUBSTITUTE("Hola "&amp;B482&amp;", te recuerdo que tu cuota de S/ "&amp;H482&amp;IF(E482&lt;TODAY()," vencio el "," vence el ")&amp;TEXT(E482,"dd/mm")&amp;". Gracias!"," ","%20"),"WhatsApp"))</f>
        <v/>
      </c>
    </row>
    <row r="483">
      <c r="A483" s="14" t="n"/>
      <c r="B483" s="16">
        <f>IF($A483="","",INDEX('Préstamos'!$B$2:$B$101,MATCH($A483,'Préstamos'!$A$2:$A$101,0)))</f>
        <v/>
      </c>
      <c r="C483" s="14" t="n"/>
      <c r="D483" s="14" t="n"/>
      <c r="E483" s="33" t="n"/>
      <c r="F483" s="29">
        <f>IF($A483="","",IF(D483="Solo interés",0,IF(AND(D483&lt;&gt;"Solo interés",C483=INDEX('Préstamos'!$G$2:$G$101,MATCH($A483,'Préstamos'!$A$2:$A$101,0))),INDEX('Préstamos'!$D$2:$D$101,MATCH($A483,'Préstamos'!$A$2:$A$101,0))-INDEX('Préstamos'!$J$2:$J$101,MATCH($A483,'Préstamos'!$A$2:$A$101,0))*(INDEX('Préstamos'!$G$2:$G$101,MATCH($A483,'Préstamos'!$A$2:$A$101,0))-1),INDEX('Préstamos'!$J$2:$J$101,MATCH($A483,'Préstamos'!$A$2:$A$101,0)))))</f>
        <v/>
      </c>
      <c r="G483" s="29">
        <f>IF($A483="","",IF(AND(D483&lt;&gt;"Solo interés",C483=INDEX('Préstamos'!$G$2:$G$101,MATCH($A483,'Préstamos'!$A$2:$A$101,0))),INDEX('Préstamos'!$I$2:$I$101,MATCH($A483,'Préstamos'!$A$2:$A$101,0))-INDEX('Préstamos'!$K$2:$K$101,MATCH($A483,'Préstamos'!$A$2:$A$101,0))*(INDEX('Préstamos'!$G$2:$G$101,MATCH($A483,'Préstamos'!$A$2:$A$101,0))-1),INDEX('Préstamos'!$K$2:$K$101,MATCH($A483,'Préstamos'!$A$2:$A$101,0))))</f>
        <v/>
      </c>
      <c r="H483" s="29">
        <f>IF($A483="","",F483+G483)</f>
        <v/>
      </c>
      <c r="I483" s="14" t="n"/>
      <c r="J483" s="33" t="n"/>
      <c r="K483" s="16">
        <f>IF(OR($A483="",I483="Pagado"),"",MAX(0,TODAY()-E483))</f>
        <v/>
      </c>
      <c r="L483" s="16">
        <f>IF($A483="","",IF(I483="Pagado","Pagado",IF(E483&lt;TODAY(),"Atrasado",IF(E483&lt;=EOMONTH(TODAY(),0),"Este mes","Pendiente"))))</f>
        <v/>
      </c>
      <c r="M483" s="20">
        <f>IF(OR($A483="",I483="Pagado"),"",HYPERLINK("https://wa.me/"&amp;IF(INDEX('Préstamos'!$C$2:$C$101,MATCH($A483,'Préstamos'!$A$2:$A$101,0))="","","51"&amp;SUBSTITUTE(INDEX('Préstamos'!$C$2:$C$101,MATCH($A483,'Préstamos'!$A$2:$A$101,0))," ",""))&amp;"?text="&amp;SUBSTITUTE("Hola "&amp;B483&amp;", te recuerdo que tu cuota de S/ "&amp;H483&amp;IF(E483&lt;TODAY()," vencio el "," vence el ")&amp;TEXT(E483,"dd/mm")&amp;". Gracias!"," ","%20"),"WhatsApp"))</f>
        <v/>
      </c>
    </row>
    <row r="484">
      <c r="A484" s="14" t="n"/>
      <c r="B484" s="16">
        <f>IF($A484="","",INDEX('Préstamos'!$B$2:$B$101,MATCH($A484,'Préstamos'!$A$2:$A$101,0)))</f>
        <v/>
      </c>
      <c r="C484" s="14" t="n"/>
      <c r="D484" s="14" t="n"/>
      <c r="E484" s="33" t="n"/>
      <c r="F484" s="29">
        <f>IF($A484="","",IF(D484="Solo interés",0,IF(AND(D484&lt;&gt;"Solo interés",C484=INDEX('Préstamos'!$G$2:$G$101,MATCH($A484,'Préstamos'!$A$2:$A$101,0))),INDEX('Préstamos'!$D$2:$D$101,MATCH($A484,'Préstamos'!$A$2:$A$101,0))-INDEX('Préstamos'!$J$2:$J$101,MATCH($A484,'Préstamos'!$A$2:$A$101,0))*(INDEX('Préstamos'!$G$2:$G$101,MATCH($A484,'Préstamos'!$A$2:$A$101,0))-1),INDEX('Préstamos'!$J$2:$J$101,MATCH($A484,'Préstamos'!$A$2:$A$101,0)))))</f>
        <v/>
      </c>
      <c r="G484" s="29">
        <f>IF($A484="","",IF(AND(D484&lt;&gt;"Solo interés",C484=INDEX('Préstamos'!$G$2:$G$101,MATCH($A484,'Préstamos'!$A$2:$A$101,0))),INDEX('Préstamos'!$I$2:$I$101,MATCH($A484,'Préstamos'!$A$2:$A$101,0))-INDEX('Préstamos'!$K$2:$K$101,MATCH($A484,'Préstamos'!$A$2:$A$101,0))*(INDEX('Préstamos'!$G$2:$G$101,MATCH($A484,'Préstamos'!$A$2:$A$101,0))-1),INDEX('Préstamos'!$K$2:$K$101,MATCH($A484,'Préstamos'!$A$2:$A$101,0))))</f>
        <v/>
      </c>
      <c r="H484" s="29">
        <f>IF($A484="","",F484+G484)</f>
        <v/>
      </c>
      <c r="I484" s="14" t="n"/>
      <c r="J484" s="33" t="n"/>
      <c r="K484" s="16">
        <f>IF(OR($A484="",I484="Pagado"),"",MAX(0,TODAY()-E484))</f>
        <v/>
      </c>
      <c r="L484" s="16">
        <f>IF($A484="","",IF(I484="Pagado","Pagado",IF(E484&lt;TODAY(),"Atrasado",IF(E484&lt;=EOMONTH(TODAY(),0),"Este mes","Pendiente"))))</f>
        <v/>
      </c>
      <c r="M484" s="20">
        <f>IF(OR($A484="",I484="Pagado"),"",HYPERLINK("https://wa.me/"&amp;IF(INDEX('Préstamos'!$C$2:$C$101,MATCH($A484,'Préstamos'!$A$2:$A$101,0))="","","51"&amp;SUBSTITUTE(INDEX('Préstamos'!$C$2:$C$101,MATCH($A484,'Préstamos'!$A$2:$A$101,0))," ",""))&amp;"?text="&amp;SUBSTITUTE("Hola "&amp;B484&amp;", te recuerdo que tu cuota de S/ "&amp;H484&amp;IF(E484&lt;TODAY()," vencio el "," vence el ")&amp;TEXT(E484,"dd/mm")&amp;". Gracias!"," ","%20"),"WhatsApp"))</f>
        <v/>
      </c>
    </row>
    <row r="485">
      <c r="A485" s="14" t="n"/>
      <c r="B485" s="16">
        <f>IF($A485="","",INDEX('Préstamos'!$B$2:$B$101,MATCH($A485,'Préstamos'!$A$2:$A$101,0)))</f>
        <v/>
      </c>
      <c r="C485" s="14" t="n"/>
      <c r="D485" s="14" t="n"/>
      <c r="E485" s="33" t="n"/>
      <c r="F485" s="29">
        <f>IF($A485="","",IF(D485="Solo interés",0,IF(AND(D485&lt;&gt;"Solo interés",C485=INDEX('Préstamos'!$G$2:$G$101,MATCH($A485,'Préstamos'!$A$2:$A$101,0))),INDEX('Préstamos'!$D$2:$D$101,MATCH($A485,'Préstamos'!$A$2:$A$101,0))-INDEX('Préstamos'!$J$2:$J$101,MATCH($A485,'Préstamos'!$A$2:$A$101,0))*(INDEX('Préstamos'!$G$2:$G$101,MATCH($A485,'Préstamos'!$A$2:$A$101,0))-1),INDEX('Préstamos'!$J$2:$J$101,MATCH($A485,'Préstamos'!$A$2:$A$101,0)))))</f>
        <v/>
      </c>
      <c r="G485" s="29">
        <f>IF($A485="","",IF(AND(D485&lt;&gt;"Solo interés",C485=INDEX('Préstamos'!$G$2:$G$101,MATCH($A485,'Préstamos'!$A$2:$A$101,0))),INDEX('Préstamos'!$I$2:$I$101,MATCH($A485,'Préstamos'!$A$2:$A$101,0))-INDEX('Préstamos'!$K$2:$K$101,MATCH($A485,'Préstamos'!$A$2:$A$101,0))*(INDEX('Préstamos'!$G$2:$G$101,MATCH($A485,'Préstamos'!$A$2:$A$101,0))-1),INDEX('Préstamos'!$K$2:$K$101,MATCH($A485,'Préstamos'!$A$2:$A$101,0))))</f>
        <v/>
      </c>
      <c r="H485" s="29">
        <f>IF($A485="","",F485+G485)</f>
        <v/>
      </c>
      <c r="I485" s="14" t="n"/>
      <c r="J485" s="33" t="n"/>
      <c r="K485" s="16">
        <f>IF(OR($A485="",I485="Pagado"),"",MAX(0,TODAY()-E485))</f>
        <v/>
      </c>
      <c r="L485" s="16">
        <f>IF($A485="","",IF(I485="Pagado","Pagado",IF(E485&lt;TODAY(),"Atrasado",IF(E485&lt;=EOMONTH(TODAY(),0),"Este mes","Pendiente"))))</f>
        <v/>
      </c>
      <c r="M485" s="20">
        <f>IF(OR($A485="",I485="Pagado"),"",HYPERLINK("https://wa.me/"&amp;IF(INDEX('Préstamos'!$C$2:$C$101,MATCH($A485,'Préstamos'!$A$2:$A$101,0))="","","51"&amp;SUBSTITUTE(INDEX('Préstamos'!$C$2:$C$101,MATCH($A485,'Préstamos'!$A$2:$A$101,0))," ",""))&amp;"?text="&amp;SUBSTITUTE("Hola "&amp;B485&amp;", te recuerdo que tu cuota de S/ "&amp;H485&amp;IF(E485&lt;TODAY()," vencio el "," vence el ")&amp;TEXT(E485,"dd/mm")&amp;". Gracias!"," ","%20"),"WhatsApp"))</f>
        <v/>
      </c>
    </row>
    <row r="486">
      <c r="A486" s="14" t="n"/>
      <c r="B486" s="16">
        <f>IF($A486="","",INDEX('Préstamos'!$B$2:$B$101,MATCH($A486,'Préstamos'!$A$2:$A$101,0)))</f>
        <v/>
      </c>
      <c r="C486" s="14" t="n"/>
      <c r="D486" s="14" t="n"/>
      <c r="E486" s="33" t="n"/>
      <c r="F486" s="29">
        <f>IF($A486="","",IF(D486="Solo interés",0,IF(AND(D486&lt;&gt;"Solo interés",C486=INDEX('Préstamos'!$G$2:$G$101,MATCH($A486,'Préstamos'!$A$2:$A$101,0))),INDEX('Préstamos'!$D$2:$D$101,MATCH($A486,'Préstamos'!$A$2:$A$101,0))-INDEX('Préstamos'!$J$2:$J$101,MATCH($A486,'Préstamos'!$A$2:$A$101,0))*(INDEX('Préstamos'!$G$2:$G$101,MATCH($A486,'Préstamos'!$A$2:$A$101,0))-1),INDEX('Préstamos'!$J$2:$J$101,MATCH($A486,'Préstamos'!$A$2:$A$101,0)))))</f>
        <v/>
      </c>
      <c r="G486" s="29">
        <f>IF($A486="","",IF(AND(D486&lt;&gt;"Solo interés",C486=INDEX('Préstamos'!$G$2:$G$101,MATCH($A486,'Préstamos'!$A$2:$A$101,0))),INDEX('Préstamos'!$I$2:$I$101,MATCH($A486,'Préstamos'!$A$2:$A$101,0))-INDEX('Préstamos'!$K$2:$K$101,MATCH($A486,'Préstamos'!$A$2:$A$101,0))*(INDEX('Préstamos'!$G$2:$G$101,MATCH($A486,'Préstamos'!$A$2:$A$101,0))-1),INDEX('Préstamos'!$K$2:$K$101,MATCH($A486,'Préstamos'!$A$2:$A$101,0))))</f>
        <v/>
      </c>
      <c r="H486" s="29">
        <f>IF($A486="","",F486+G486)</f>
        <v/>
      </c>
      <c r="I486" s="14" t="n"/>
      <c r="J486" s="33" t="n"/>
      <c r="K486" s="16">
        <f>IF(OR($A486="",I486="Pagado"),"",MAX(0,TODAY()-E486))</f>
        <v/>
      </c>
      <c r="L486" s="16">
        <f>IF($A486="","",IF(I486="Pagado","Pagado",IF(E486&lt;TODAY(),"Atrasado",IF(E486&lt;=EOMONTH(TODAY(),0),"Este mes","Pendiente"))))</f>
        <v/>
      </c>
      <c r="M486" s="20">
        <f>IF(OR($A486="",I486="Pagado"),"",HYPERLINK("https://wa.me/"&amp;IF(INDEX('Préstamos'!$C$2:$C$101,MATCH($A486,'Préstamos'!$A$2:$A$101,0))="","","51"&amp;SUBSTITUTE(INDEX('Préstamos'!$C$2:$C$101,MATCH($A486,'Préstamos'!$A$2:$A$101,0))," ",""))&amp;"?text="&amp;SUBSTITUTE("Hola "&amp;B486&amp;", te recuerdo que tu cuota de S/ "&amp;H486&amp;IF(E486&lt;TODAY()," vencio el "," vence el ")&amp;TEXT(E486,"dd/mm")&amp;". Gracias!"," ","%20"),"WhatsApp"))</f>
        <v/>
      </c>
    </row>
    <row r="487">
      <c r="A487" s="14" t="n"/>
      <c r="B487" s="16">
        <f>IF($A487="","",INDEX('Préstamos'!$B$2:$B$101,MATCH($A487,'Préstamos'!$A$2:$A$101,0)))</f>
        <v/>
      </c>
      <c r="C487" s="14" t="n"/>
      <c r="D487" s="14" t="n"/>
      <c r="E487" s="33" t="n"/>
      <c r="F487" s="29">
        <f>IF($A487="","",IF(D487="Solo interés",0,IF(AND(D487&lt;&gt;"Solo interés",C487=INDEX('Préstamos'!$G$2:$G$101,MATCH($A487,'Préstamos'!$A$2:$A$101,0))),INDEX('Préstamos'!$D$2:$D$101,MATCH($A487,'Préstamos'!$A$2:$A$101,0))-INDEX('Préstamos'!$J$2:$J$101,MATCH($A487,'Préstamos'!$A$2:$A$101,0))*(INDEX('Préstamos'!$G$2:$G$101,MATCH($A487,'Préstamos'!$A$2:$A$101,0))-1),INDEX('Préstamos'!$J$2:$J$101,MATCH($A487,'Préstamos'!$A$2:$A$101,0)))))</f>
        <v/>
      </c>
      <c r="G487" s="29">
        <f>IF($A487="","",IF(AND(D487&lt;&gt;"Solo interés",C487=INDEX('Préstamos'!$G$2:$G$101,MATCH($A487,'Préstamos'!$A$2:$A$101,0))),INDEX('Préstamos'!$I$2:$I$101,MATCH($A487,'Préstamos'!$A$2:$A$101,0))-INDEX('Préstamos'!$K$2:$K$101,MATCH($A487,'Préstamos'!$A$2:$A$101,0))*(INDEX('Préstamos'!$G$2:$G$101,MATCH($A487,'Préstamos'!$A$2:$A$101,0))-1),INDEX('Préstamos'!$K$2:$K$101,MATCH($A487,'Préstamos'!$A$2:$A$101,0))))</f>
        <v/>
      </c>
      <c r="H487" s="29">
        <f>IF($A487="","",F487+G487)</f>
        <v/>
      </c>
      <c r="I487" s="14" t="n"/>
      <c r="J487" s="33" t="n"/>
      <c r="K487" s="16">
        <f>IF(OR($A487="",I487="Pagado"),"",MAX(0,TODAY()-E487))</f>
        <v/>
      </c>
      <c r="L487" s="16">
        <f>IF($A487="","",IF(I487="Pagado","Pagado",IF(E487&lt;TODAY(),"Atrasado",IF(E487&lt;=EOMONTH(TODAY(),0),"Este mes","Pendiente"))))</f>
        <v/>
      </c>
      <c r="M487" s="20">
        <f>IF(OR($A487="",I487="Pagado"),"",HYPERLINK("https://wa.me/"&amp;IF(INDEX('Préstamos'!$C$2:$C$101,MATCH($A487,'Préstamos'!$A$2:$A$101,0))="","","51"&amp;SUBSTITUTE(INDEX('Préstamos'!$C$2:$C$101,MATCH($A487,'Préstamos'!$A$2:$A$101,0))," ",""))&amp;"?text="&amp;SUBSTITUTE("Hola "&amp;B487&amp;", te recuerdo que tu cuota de S/ "&amp;H487&amp;IF(E487&lt;TODAY()," vencio el "," vence el ")&amp;TEXT(E487,"dd/mm")&amp;". Gracias!"," ","%20"),"WhatsApp"))</f>
        <v/>
      </c>
    </row>
    <row r="488">
      <c r="A488" s="14" t="n"/>
      <c r="B488" s="16">
        <f>IF($A488="","",INDEX('Préstamos'!$B$2:$B$101,MATCH($A488,'Préstamos'!$A$2:$A$101,0)))</f>
        <v/>
      </c>
      <c r="C488" s="14" t="n"/>
      <c r="D488" s="14" t="n"/>
      <c r="E488" s="33" t="n"/>
      <c r="F488" s="29">
        <f>IF($A488="","",IF(D488="Solo interés",0,IF(AND(D488&lt;&gt;"Solo interés",C488=INDEX('Préstamos'!$G$2:$G$101,MATCH($A488,'Préstamos'!$A$2:$A$101,0))),INDEX('Préstamos'!$D$2:$D$101,MATCH($A488,'Préstamos'!$A$2:$A$101,0))-INDEX('Préstamos'!$J$2:$J$101,MATCH($A488,'Préstamos'!$A$2:$A$101,0))*(INDEX('Préstamos'!$G$2:$G$101,MATCH($A488,'Préstamos'!$A$2:$A$101,0))-1),INDEX('Préstamos'!$J$2:$J$101,MATCH($A488,'Préstamos'!$A$2:$A$101,0)))))</f>
        <v/>
      </c>
      <c r="G488" s="29">
        <f>IF($A488="","",IF(AND(D488&lt;&gt;"Solo interés",C488=INDEX('Préstamos'!$G$2:$G$101,MATCH($A488,'Préstamos'!$A$2:$A$101,0))),INDEX('Préstamos'!$I$2:$I$101,MATCH($A488,'Préstamos'!$A$2:$A$101,0))-INDEX('Préstamos'!$K$2:$K$101,MATCH($A488,'Préstamos'!$A$2:$A$101,0))*(INDEX('Préstamos'!$G$2:$G$101,MATCH($A488,'Préstamos'!$A$2:$A$101,0))-1),INDEX('Préstamos'!$K$2:$K$101,MATCH($A488,'Préstamos'!$A$2:$A$101,0))))</f>
        <v/>
      </c>
      <c r="H488" s="29">
        <f>IF($A488="","",F488+G488)</f>
        <v/>
      </c>
      <c r="I488" s="14" t="n"/>
      <c r="J488" s="33" t="n"/>
      <c r="K488" s="16">
        <f>IF(OR($A488="",I488="Pagado"),"",MAX(0,TODAY()-E488))</f>
        <v/>
      </c>
      <c r="L488" s="16">
        <f>IF($A488="","",IF(I488="Pagado","Pagado",IF(E488&lt;TODAY(),"Atrasado",IF(E488&lt;=EOMONTH(TODAY(),0),"Este mes","Pendiente"))))</f>
        <v/>
      </c>
      <c r="M488" s="20">
        <f>IF(OR($A488="",I488="Pagado"),"",HYPERLINK("https://wa.me/"&amp;IF(INDEX('Préstamos'!$C$2:$C$101,MATCH($A488,'Préstamos'!$A$2:$A$101,0))="","","51"&amp;SUBSTITUTE(INDEX('Préstamos'!$C$2:$C$101,MATCH($A488,'Préstamos'!$A$2:$A$101,0))," ",""))&amp;"?text="&amp;SUBSTITUTE("Hola "&amp;B488&amp;", te recuerdo que tu cuota de S/ "&amp;H488&amp;IF(E488&lt;TODAY()," vencio el "," vence el ")&amp;TEXT(E488,"dd/mm")&amp;". Gracias!"," ","%20"),"WhatsApp"))</f>
        <v/>
      </c>
    </row>
    <row r="489">
      <c r="A489" s="14" t="n"/>
      <c r="B489" s="16">
        <f>IF($A489="","",INDEX('Préstamos'!$B$2:$B$101,MATCH($A489,'Préstamos'!$A$2:$A$101,0)))</f>
        <v/>
      </c>
      <c r="C489" s="14" t="n"/>
      <c r="D489" s="14" t="n"/>
      <c r="E489" s="33" t="n"/>
      <c r="F489" s="29">
        <f>IF($A489="","",IF(D489="Solo interés",0,IF(AND(D489&lt;&gt;"Solo interés",C489=INDEX('Préstamos'!$G$2:$G$101,MATCH($A489,'Préstamos'!$A$2:$A$101,0))),INDEX('Préstamos'!$D$2:$D$101,MATCH($A489,'Préstamos'!$A$2:$A$101,0))-INDEX('Préstamos'!$J$2:$J$101,MATCH($A489,'Préstamos'!$A$2:$A$101,0))*(INDEX('Préstamos'!$G$2:$G$101,MATCH($A489,'Préstamos'!$A$2:$A$101,0))-1),INDEX('Préstamos'!$J$2:$J$101,MATCH($A489,'Préstamos'!$A$2:$A$101,0)))))</f>
        <v/>
      </c>
      <c r="G489" s="29">
        <f>IF($A489="","",IF(AND(D489&lt;&gt;"Solo interés",C489=INDEX('Préstamos'!$G$2:$G$101,MATCH($A489,'Préstamos'!$A$2:$A$101,0))),INDEX('Préstamos'!$I$2:$I$101,MATCH($A489,'Préstamos'!$A$2:$A$101,0))-INDEX('Préstamos'!$K$2:$K$101,MATCH($A489,'Préstamos'!$A$2:$A$101,0))*(INDEX('Préstamos'!$G$2:$G$101,MATCH($A489,'Préstamos'!$A$2:$A$101,0))-1),INDEX('Préstamos'!$K$2:$K$101,MATCH($A489,'Préstamos'!$A$2:$A$101,0))))</f>
        <v/>
      </c>
      <c r="H489" s="29">
        <f>IF($A489="","",F489+G489)</f>
        <v/>
      </c>
      <c r="I489" s="14" t="n"/>
      <c r="J489" s="33" t="n"/>
      <c r="K489" s="16">
        <f>IF(OR($A489="",I489="Pagado"),"",MAX(0,TODAY()-E489))</f>
        <v/>
      </c>
      <c r="L489" s="16">
        <f>IF($A489="","",IF(I489="Pagado","Pagado",IF(E489&lt;TODAY(),"Atrasado",IF(E489&lt;=EOMONTH(TODAY(),0),"Este mes","Pendiente"))))</f>
        <v/>
      </c>
      <c r="M489" s="20">
        <f>IF(OR($A489="",I489="Pagado"),"",HYPERLINK("https://wa.me/"&amp;IF(INDEX('Préstamos'!$C$2:$C$101,MATCH($A489,'Préstamos'!$A$2:$A$101,0))="","","51"&amp;SUBSTITUTE(INDEX('Préstamos'!$C$2:$C$101,MATCH($A489,'Préstamos'!$A$2:$A$101,0))," ",""))&amp;"?text="&amp;SUBSTITUTE("Hola "&amp;B489&amp;", te recuerdo que tu cuota de S/ "&amp;H489&amp;IF(E489&lt;TODAY()," vencio el "," vence el ")&amp;TEXT(E489,"dd/mm")&amp;". Gracias!"," ","%20"),"WhatsApp"))</f>
        <v/>
      </c>
    </row>
    <row r="490">
      <c r="A490" s="14" t="n"/>
      <c r="B490" s="16">
        <f>IF($A490="","",INDEX('Préstamos'!$B$2:$B$101,MATCH($A490,'Préstamos'!$A$2:$A$101,0)))</f>
        <v/>
      </c>
      <c r="C490" s="14" t="n"/>
      <c r="D490" s="14" t="n"/>
      <c r="E490" s="33" t="n"/>
      <c r="F490" s="29">
        <f>IF($A490="","",IF(D490="Solo interés",0,IF(AND(D490&lt;&gt;"Solo interés",C490=INDEX('Préstamos'!$G$2:$G$101,MATCH($A490,'Préstamos'!$A$2:$A$101,0))),INDEX('Préstamos'!$D$2:$D$101,MATCH($A490,'Préstamos'!$A$2:$A$101,0))-INDEX('Préstamos'!$J$2:$J$101,MATCH($A490,'Préstamos'!$A$2:$A$101,0))*(INDEX('Préstamos'!$G$2:$G$101,MATCH($A490,'Préstamos'!$A$2:$A$101,0))-1),INDEX('Préstamos'!$J$2:$J$101,MATCH($A490,'Préstamos'!$A$2:$A$101,0)))))</f>
        <v/>
      </c>
      <c r="G490" s="29">
        <f>IF($A490="","",IF(AND(D490&lt;&gt;"Solo interés",C490=INDEX('Préstamos'!$G$2:$G$101,MATCH($A490,'Préstamos'!$A$2:$A$101,0))),INDEX('Préstamos'!$I$2:$I$101,MATCH($A490,'Préstamos'!$A$2:$A$101,0))-INDEX('Préstamos'!$K$2:$K$101,MATCH($A490,'Préstamos'!$A$2:$A$101,0))*(INDEX('Préstamos'!$G$2:$G$101,MATCH($A490,'Préstamos'!$A$2:$A$101,0))-1),INDEX('Préstamos'!$K$2:$K$101,MATCH($A490,'Préstamos'!$A$2:$A$101,0))))</f>
        <v/>
      </c>
      <c r="H490" s="29">
        <f>IF($A490="","",F490+G490)</f>
        <v/>
      </c>
      <c r="I490" s="14" t="n"/>
      <c r="J490" s="33" t="n"/>
      <c r="K490" s="16">
        <f>IF(OR($A490="",I490="Pagado"),"",MAX(0,TODAY()-E490))</f>
        <v/>
      </c>
      <c r="L490" s="16">
        <f>IF($A490="","",IF(I490="Pagado","Pagado",IF(E490&lt;TODAY(),"Atrasado",IF(E490&lt;=EOMONTH(TODAY(),0),"Este mes","Pendiente"))))</f>
        <v/>
      </c>
      <c r="M490" s="20">
        <f>IF(OR($A490="",I490="Pagado"),"",HYPERLINK("https://wa.me/"&amp;IF(INDEX('Préstamos'!$C$2:$C$101,MATCH($A490,'Préstamos'!$A$2:$A$101,0))="","","51"&amp;SUBSTITUTE(INDEX('Préstamos'!$C$2:$C$101,MATCH($A490,'Préstamos'!$A$2:$A$101,0))," ",""))&amp;"?text="&amp;SUBSTITUTE("Hola "&amp;B490&amp;", te recuerdo que tu cuota de S/ "&amp;H490&amp;IF(E490&lt;TODAY()," vencio el "," vence el ")&amp;TEXT(E490,"dd/mm")&amp;". Gracias!"," ","%20"),"WhatsApp"))</f>
        <v/>
      </c>
    </row>
    <row r="491">
      <c r="A491" s="14" t="n"/>
      <c r="B491" s="16">
        <f>IF($A491="","",INDEX('Préstamos'!$B$2:$B$101,MATCH($A491,'Préstamos'!$A$2:$A$101,0)))</f>
        <v/>
      </c>
      <c r="C491" s="14" t="n"/>
      <c r="D491" s="14" t="n"/>
      <c r="E491" s="33" t="n"/>
      <c r="F491" s="29">
        <f>IF($A491="","",IF(D491="Solo interés",0,IF(AND(D491&lt;&gt;"Solo interés",C491=INDEX('Préstamos'!$G$2:$G$101,MATCH($A491,'Préstamos'!$A$2:$A$101,0))),INDEX('Préstamos'!$D$2:$D$101,MATCH($A491,'Préstamos'!$A$2:$A$101,0))-INDEX('Préstamos'!$J$2:$J$101,MATCH($A491,'Préstamos'!$A$2:$A$101,0))*(INDEX('Préstamos'!$G$2:$G$101,MATCH($A491,'Préstamos'!$A$2:$A$101,0))-1),INDEX('Préstamos'!$J$2:$J$101,MATCH($A491,'Préstamos'!$A$2:$A$101,0)))))</f>
        <v/>
      </c>
      <c r="G491" s="29">
        <f>IF($A491="","",IF(AND(D491&lt;&gt;"Solo interés",C491=INDEX('Préstamos'!$G$2:$G$101,MATCH($A491,'Préstamos'!$A$2:$A$101,0))),INDEX('Préstamos'!$I$2:$I$101,MATCH($A491,'Préstamos'!$A$2:$A$101,0))-INDEX('Préstamos'!$K$2:$K$101,MATCH($A491,'Préstamos'!$A$2:$A$101,0))*(INDEX('Préstamos'!$G$2:$G$101,MATCH($A491,'Préstamos'!$A$2:$A$101,0))-1),INDEX('Préstamos'!$K$2:$K$101,MATCH($A491,'Préstamos'!$A$2:$A$101,0))))</f>
        <v/>
      </c>
      <c r="H491" s="29">
        <f>IF($A491="","",F491+G491)</f>
        <v/>
      </c>
      <c r="I491" s="14" t="n"/>
      <c r="J491" s="33" t="n"/>
      <c r="K491" s="16">
        <f>IF(OR($A491="",I491="Pagado"),"",MAX(0,TODAY()-E491))</f>
        <v/>
      </c>
      <c r="L491" s="16">
        <f>IF($A491="","",IF(I491="Pagado","Pagado",IF(E491&lt;TODAY(),"Atrasado",IF(E491&lt;=EOMONTH(TODAY(),0),"Este mes","Pendiente"))))</f>
        <v/>
      </c>
      <c r="M491" s="20">
        <f>IF(OR($A491="",I491="Pagado"),"",HYPERLINK("https://wa.me/"&amp;IF(INDEX('Préstamos'!$C$2:$C$101,MATCH($A491,'Préstamos'!$A$2:$A$101,0))="","","51"&amp;SUBSTITUTE(INDEX('Préstamos'!$C$2:$C$101,MATCH($A491,'Préstamos'!$A$2:$A$101,0))," ",""))&amp;"?text="&amp;SUBSTITUTE("Hola "&amp;B491&amp;", te recuerdo que tu cuota de S/ "&amp;H491&amp;IF(E491&lt;TODAY()," vencio el "," vence el ")&amp;TEXT(E491,"dd/mm")&amp;". Gracias!"," ","%20"),"WhatsApp"))</f>
        <v/>
      </c>
    </row>
    <row r="492">
      <c r="A492" s="14" t="n"/>
      <c r="B492" s="16">
        <f>IF($A492="","",INDEX('Préstamos'!$B$2:$B$101,MATCH($A492,'Préstamos'!$A$2:$A$101,0)))</f>
        <v/>
      </c>
      <c r="C492" s="14" t="n"/>
      <c r="D492" s="14" t="n"/>
      <c r="E492" s="33" t="n"/>
      <c r="F492" s="29">
        <f>IF($A492="","",IF(D492="Solo interés",0,IF(AND(D492&lt;&gt;"Solo interés",C492=INDEX('Préstamos'!$G$2:$G$101,MATCH($A492,'Préstamos'!$A$2:$A$101,0))),INDEX('Préstamos'!$D$2:$D$101,MATCH($A492,'Préstamos'!$A$2:$A$101,0))-INDEX('Préstamos'!$J$2:$J$101,MATCH($A492,'Préstamos'!$A$2:$A$101,0))*(INDEX('Préstamos'!$G$2:$G$101,MATCH($A492,'Préstamos'!$A$2:$A$101,0))-1),INDEX('Préstamos'!$J$2:$J$101,MATCH($A492,'Préstamos'!$A$2:$A$101,0)))))</f>
        <v/>
      </c>
      <c r="G492" s="29">
        <f>IF($A492="","",IF(AND(D492&lt;&gt;"Solo interés",C492=INDEX('Préstamos'!$G$2:$G$101,MATCH($A492,'Préstamos'!$A$2:$A$101,0))),INDEX('Préstamos'!$I$2:$I$101,MATCH($A492,'Préstamos'!$A$2:$A$101,0))-INDEX('Préstamos'!$K$2:$K$101,MATCH($A492,'Préstamos'!$A$2:$A$101,0))*(INDEX('Préstamos'!$G$2:$G$101,MATCH($A492,'Préstamos'!$A$2:$A$101,0))-1),INDEX('Préstamos'!$K$2:$K$101,MATCH($A492,'Préstamos'!$A$2:$A$101,0))))</f>
        <v/>
      </c>
      <c r="H492" s="29">
        <f>IF($A492="","",F492+G492)</f>
        <v/>
      </c>
      <c r="I492" s="14" t="n"/>
      <c r="J492" s="33" t="n"/>
      <c r="K492" s="16">
        <f>IF(OR($A492="",I492="Pagado"),"",MAX(0,TODAY()-E492))</f>
        <v/>
      </c>
      <c r="L492" s="16">
        <f>IF($A492="","",IF(I492="Pagado","Pagado",IF(E492&lt;TODAY(),"Atrasado",IF(E492&lt;=EOMONTH(TODAY(),0),"Este mes","Pendiente"))))</f>
        <v/>
      </c>
      <c r="M492" s="20">
        <f>IF(OR($A492="",I492="Pagado"),"",HYPERLINK("https://wa.me/"&amp;IF(INDEX('Préstamos'!$C$2:$C$101,MATCH($A492,'Préstamos'!$A$2:$A$101,0))="","","51"&amp;SUBSTITUTE(INDEX('Préstamos'!$C$2:$C$101,MATCH($A492,'Préstamos'!$A$2:$A$101,0))," ",""))&amp;"?text="&amp;SUBSTITUTE("Hola "&amp;B492&amp;", te recuerdo que tu cuota de S/ "&amp;H492&amp;IF(E492&lt;TODAY()," vencio el "," vence el ")&amp;TEXT(E492,"dd/mm")&amp;". Gracias!"," ","%20"),"WhatsApp"))</f>
        <v/>
      </c>
    </row>
    <row r="493">
      <c r="A493" s="14" t="n"/>
      <c r="B493" s="16">
        <f>IF($A493="","",INDEX('Préstamos'!$B$2:$B$101,MATCH($A493,'Préstamos'!$A$2:$A$101,0)))</f>
        <v/>
      </c>
      <c r="C493" s="14" t="n"/>
      <c r="D493" s="14" t="n"/>
      <c r="E493" s="33" t="n"/>
      <c r="F493" s="29">
        <f>IF($A493="","",IF(D493="Solo interés",0,IF(AND(D493&lt;&gt;"Solo interés",C493=INDEX('Préstamos'!$G$2:$G$101,MATCH($A493,'Préstamos'!$A$2:$A$101,0))),INDEX('Préstamos'!$D$2:$D$101,MATCH($A493,'Préstamos'!$A$2:$A$101,0))-INDEX('Préstamos'!$J$2:$J$101,MATCH($A493,'Préstamos'!$A$2:$A$101,0))*(INDEX('Préstamos'!$G$2:$G$101,MATCH($A493,'Préstamos'!$A$2:$A$101,0))-1),INDEX('Préstamos'!$J$2:$J$101,MATCH($A493,'Préstamos'!$A$2:$A$101,0)))))</f>
        <v/>
      </c>
      <c r="G493" s="29">
        <f>IF($A493="","",IF(AND(D493&lt;&gt;"Solo interés",C493=INDEX('Préstamos'!$G$2:$G$101,MATCH($A493,'Préstamos'!$A$2:$A$101,0))),INDEX('Préstamos'!$I$2:$I$101,MATCH($A493,'Préstamos'!$A$2:$A$101,0))-INDEX('Préstamos'!$K$2:$K$101,MATCH($A493,'Préstamos'!$A$2:$A$101,0))*(INDEX('Préstamos'!$G$2:$G$101,MATCH($A493,'Préstamos'!$A$2:$A$101,0))-1),INDEX('Préstamos'!$K$2:$K$101,MATCH($A493,'Préstamos'!$A$2:$A$101,0))))</f>
        <v/>
      </c>
      <c r="H493" s="29">
        <f>IF($A493="","",F493+G493)</f>
        <v/>
      </c>
      <c r="I493" s="14" t="n"/>
      <c r="J493" s="33" t="n"/>
      <c r="K493" s="16">
        <f>IF(OR($A493="",I493="Pagado"),"",MAX(0,TODAY()-E493))</f>
        <v/>
      </c>
      <c r="L493" s="16">
        <f>IF($A493="","",IF(I493="Pagado","Pagado",IF(E493&lt;TODAY(),"Atrasado",IF(E493&lt;=EOMONTH(TODAY(),0),"Este mes","Pendiente"))))</f>
        <v/>
      </c>
      <c r="M493" s="20">
        <f>IF(OR($A493="",I493="Pagado"),"",HYPERLINK("https://wa.me/"&amp;IF(INDEX('Préstamos'!$C$2:$C$101,MATCH($A493,'Préstamos'!$A$2:$A$101,0))="","","51"&amp;SUBSTITUTE(INDEX('Préstamos'!$C$2:$C$101,MATCH($A493,'Préstamos'!$A$2:$A$101,0))," ",""))&amp;"?text="&amp;SUBSTITUTE("Hola "&amp;B493&amp;", te recuerdo que tu cuota de S/ "&amp;H493&amp;IF(E493&lt;TODAY()," vencio el "," vence el ")&amp;TEXT(E493,"dd/mm")&amp;". Gracias!"," ","%20"),"WhatsApp"))</f>
        <v/>
      </c>
    </row>
    <row r="494">
      <c r="A494" s="14" t="n"/>
      <c r="B494" s="16">
        <f>IF($A494="","",INDEX('Préstamos'!$B$2:$B$101,MATCH($A494,'Préstamos'!$A$2:$A$101,0)))</f>
        <v/>
      </c>
      <c r="C494" s="14" t="n"/>
      <c r="D494" s="14" t="n"/>
      <c r="E494" s="33" t="n"/>
      <c r="F494" s="29">
        <f>IF($A494="","",IF(D494="Solo interés",0,IF(AND(D494&lt;&gt;"Solo interés",C494=INDEX('Préstamos'!$G$2:$G$101,MATCH($A494,'Préstamos'!$A$2:$A$101,0))),INDEX('Préstamos'!$D$2:$D$101,MATCH($A494,'Préstamos'!$A$2:$A$101,0))-INDEX('Préstamos'!$J$2:$J$101,MATCH($A494,'Préstamos'!$A$2:$A$101,0))*(INDEX('Préstamos'!$G$2:$G$101,MATCH($A494,'Préstamos'!$A$2:$A$101,0))-1),INDEX('Préstamos'!$J$2:$J$101,MATCH($A494,'Préstamos'!$A$2:$A$101,0)))))</f>
        <v/>
      </c>
      <c r="G494" s="29">
        <f>IF($A494="","",IF(AND(D494&lt;&gt;"Solo interés",C494=INDEX('Préstamos'!$G$2:$G$101,MATCH($A494,'Préstamos'!$A$2:$A$101,0))),INDEX('Préstamos'!$I$2:$I$101,MATCH($A494,'Préstamos'!$A$2:$A$101,0))-INDEX('Préstamos'!$K$2:$K$101,MATCH($A494,'Préstamos'!$A$2:$A$101,0))*(INDEX('Préstamos'!$G$2:$G$101,MATCH($A494,'Préstamos'!$A$2:$A$101,0))-1),INDEX('Préstamos'!$K$2:$K$101,MATCH($A494,'Préstamos'!$A$2:$A$101,0))))</f>
        <v/>
      </c>
      <c r="H494" s="29">
        <f>IF($A494="","",F494+G494)</f>
        <v/>
      </c>
      <c r="I494" s="14" t="n"/>
      <c r="J494" s="33" t="n"/>
      <c r="K494" s="16">
        <f>IF(OR($A494="",I494="Pagado"),"",MAX(0,TODAY()-E494))</f>
        <v/>
      </c>
      <c r="L494" s="16">
        <f>IF($A494="","",IF(I494="Pagado","Pagado",IF(E494&lt;TODAY(),"Atrasado",IF(E494&lt;=EOMONTH(TODAY(),0),"Este mes","Pendiente"))))</f>
        <v/>
      </c>
      <c r="M494" s="20">
        <f>IF(OR($A494="",I494="Pagado"),"",HYPERLINK("https://wa.me/"&amp;IF(INDEX('Préstamos'!$C$2:$C$101,MATCH($A494,'Préstamos'!$A$2:$A$101,0))="","","51"&amp;SUBSTITUTE(INDEX('Préstamos'!$C$2:$C$101,MATCH($A494,'Préstamos'!$A$2:$A$101,0))," ",""))&amp;"?text="&amp;SUBSTITUTE("Hola "&amp;B494&amp;", te recuerdo que tu cuota de S/ "&amp;H494&amp;IF(E494&lt;TODAY()," vencio el "," vence el ")&amp;TEXT(E494,"dd/mm")&amp;". Gracias!"," ","%20"),"WhatsApp"))</f>
        <v/>
      </c>
    </row>
    <row r="495">
      <c r="A495" s="14" t="n"/>
      <c r="B495" s="16">
        <f>IF($A495="","",INDEX('Préstamos'!$B$2:$B$101,MATCH($A495,'Préstamos'!$A$2:$A$101,0)))</f>
        <v/>
      </c>
      <c r="C495" s="14" t="n"/>
      <c r="D495" s="14" t="n"/>
      <c r="E495" s="33" t="n"/>
      <c r="F495" s="29">
        <f>IF($A495="","",IF(D495="Solo interés",0,IF(AND(D495&lt;&gt;"Solo interés",C495=INDEX('Préstamos'!$G$2:$G$101,MATCH($A495,'Préstamos'!$A$2:$A$101,0))),INDEX('Préstamos'!$D$2:$D$101,MATCH($A495,'Préstamos'!$A$2:$A$101,0))-INDEX('Préstamos'!$J$2:$J$101,MATCH($A495,'Préstamos'!$A$2:$A$101,0))*(INDEX('Préstamos'!$G$2:$G$101,MATCH($A495,'Préstamos'!$A$2:$A$101,0))-1),INDEX('Préstamos'!$J$2:$J$101,MATCH($A495,'Préstamos'!$A$2:$A$101,0)))))</f>
        <v/>
      </c>
      <c r="G495" s="29">
        <f>IF($A495="","",IF(AND(D495&lt;&gt;"Solo interés",C495=INDEX('Préstamos'!$G$2:$G$101,MATCH($A495,'Préstamos'!$A$2:$A$101,0))),INDEX('Préstamos'!$I$2:$I$101,MATCH($A495,'Préstamos'!$A$2:$A$101,0))-INDEX('Préstamos'!$K$2:$K$101,MATCH($A495,'Préstamos'!$A$2:$A$101,0))*(INDEX('Préstamos'!$G$2:$G$101,MATCH($A495,'Préstamos'!$A$2:$A$101,0))-1),INDEX('Préstamos'!$K$2:$K$101,MATCH($A495,'Préstamos'!$A$2:$A$101,0))))</f>
        <v/>
      </c>
      <c r="H495" s="29">
        <f>IF($A495="","",F495+G495)</f>
        <v/>
      </c>
      <c r="I495" s="14" t="n"/>
      <c r="J495" s="33" t="n"/>
      <c r="K495" s="16">
        <f>IF(OR($A495="",I495="Pagado"),"",MAX(0,TODAY()-E495))</f>
        <v/>
      </c>
      <c r="L495" s="16">
        <f>IF($A495="","",IF(I495="Pagado","Pagado",IF(E495&lt;TODAY(),"Atrasado",IF(E495&lt;=EOMONTH(TODAY(),0),"Este mes","Pendiente"))))</f>
        <v/>
      </c>
      <c r="M495" s="20">
        <f>IF(OR($A495="",I495="Pagado"),"",HYPERLINK("https://wa.me/"&amp;IF(INDEX('Préstamos'!$C$2:$C$101,MATCH($A495,'Préstamos'!$A$2:$A$101,0))="","","51"&amp;SUBSTITUTE(INDEX('Préstamos'!$C$2:$C$101,MATCH($A495,'Préstamos'!$A$2:$A$101,0))," ",""))&amp;"?text="&amp;SUBSTITUTE("Hola "&amp;B495&amp;", te recuerdo que tu cuota de S/ "&amp;H495&amp;IF(E495&lt;TODAY()," vencio el "," vence el ")&amp;TEXT(E495,"dd/mm")&amp;". Gracias!"," ","%20"),"WhatsApp"))</f>
        <v/>
      </c>
    </row>
    <row r="496">
      <c r="A496" s="14" t="n"/>
      <c r="B496" s="16">
        <f>IF($A496="","",INDEX('Préstamos'!$B$2:$B$101,MATCH($A496,'Préstamos'!$A$2:$A$101,0)))</f>
        <v/>
      </c>
      <c r="C496" s="14" t="n"/>
      <c r="D496" s="14" t="n"/>
      <c r="E496" s="33" t="n"/>
      <c r="F496" s="29">
        <f>IF($A496="","",IF(D496="Solo interés",0,IF(AND(D496&lt;&gt;"Solo interés",C496=INDEX('Préstamos'!$G$2:$G$101,MATCH($A496,'Préstamos'!$A$2:$A$101,0))),INDEX('Préstamos'!$D$2:$D$101,MATCH($A496,'Préstamos'!$A$2:$A$101,0))-INDEX('Préstamos'!$J$2:$J$101,MATCH($A496,'Préstamos'!$A$2:$A$101,0))*(INDEX('Préstamos'!$G$2:$G$101,MATCH($A496,'Préstamos'!$A$2:$A$101,0))-1),INDEX('Préstamos'!$J$2:$J$101,MATCH($A496,'Préstamos'!$A$2:$A$101,0)))))</f>
        <v/>
      </c>
      <c r="G496" s="29">
        <f>IF($A496="","",IF(AND(D496&lt;&gt;"Solo interés",C496=INDEX('Préstamos'!$G$2:$G$101,MATCH($A496,'Préstamos'!$A$2:$A$101,0))),INDEX('Préstamos'!$I$2:$I$101,MATCH($A496,'Préstamos'!$A$2:$A$101,0))-INDEX('Préstamos'!$K$2:$K$101,MATCH($A496,'Préstamos'!$A$2:$A$101,0))*(INDEX('Préstamos'!$G$2:$G$101,MATCH($A496,'Préstamos'!$A$2:$A$101,0))-1),INDEX('Préstamos'!$K$2:$K$101,MATCH($A496,'Préstamos'!$A$2:$A$101,0))))</f>
        <v/>
      </c>
      <c r="H496" s="29">
        <f>IF($A496="","",F496+G496)</f>
        <v/>
      </c>
      <c r="I496" s="14" t="n"/>
      <c r="J496" s="33" t="n"/>
      <c r="K496" s="16">
        <f>IF(OR($A496="",I496="Pagado"),"",MAX(0,TODAY()-E496))</f>
        <v/>
      </c>
      <c r="L496" s="16">
        <f>IF($A496="","",IF(I496="Pagado","Pagado",IF(E496&lt;TODAY(),"Atrasado",IF(E496&lt;=EOMONTH(TODAY(),0),"Este mes","Pendiente"))))</f>
        <v/>
      </c>
      <c r="M496" s="20">
        <f>IF(OR($A496="",I496="Pagado"),"",HYPERLINK("https://wa.me/"&amp;IF(INDEX('Préstamos'!$C$2:$C$101,MATCH($A496,'Préstamos'!$A$2:$A$101,0))="","","51"&amp;SUBSTITUTE(INDEX('Préstamos'!$C$2:$C$101,MATCH($A496,'Préstamos'!$A$2:$A$101,0))," ",""))&amp;"?text="&amp;SUBSTITUTE("Hola "&amp;B496&amp;", te recuerdo que tu cuota de S/ "&amp;H496&amp;IF(E496&lt;TODAY()," vencio el "," vence el ")&amp;TEXT(E496,"dd/mm")&amp;". Gracias!"," ","%20"),"WhatsApp"))</f>
        <v/>
      </c>
    </row>
    <row r="497">
      <c r="A497" s="14" t="n"/>
      <c r="B497" s="16">
        <f>IF($A497="","",INDEX('Préstamos'!$B$2:$B$101,MATCH($A497,'Préstamos'!$A$2:$A$101,0)))</f>
        <v/>
      </c>
      <c r="C497" s="14" t="n"/>
      <c r="D497" s="14" t="n"/>
      <c r="E497" s="33" t="n"/>
      <c r="F497" s="29">
        <f>IF($A497="","",IF(D497="Solo interés",0,IF(AND(D497&lt;&gt;"Solo interés",C497=INDEX('Préstamos'!$G$2:$G$101,MATCH($A497,'Préstamos'!$A$2:$A$101,0))),INDEX('Préstamos'!$D$2:$D$101,MATCH($A497,'Préstamos'!$A$2:$A$101,0))-INDEX('Préstamos'!$J$2:$J$101,MATCH($A497,'Préstamos'!$A$2:$A$101,0))*(INDEX('Préstamos'!$G$2:$G$101,MATCH($A497,'Préstamos'!$A$2:$A$101,0))-1),INDEX('Préstamos'!$J$2:$J$101,MATCH($A497,'Préstamos'!$A$2:$A$101,0)))))</f>
        <v/>
      </c>
      <c r="G497" s="29">
        <f>IF($A497="","",IF(AND(D497&lt;&gt;"Solo interés",C497=INDEX('Préstamos'!$G$2:$G$101,MATCH($A497,'Préstamos'!$A$2:$A$101,0))),INDEX('Préstamos'!$I$2:$I$101,MATCH($A497,'Préstamos'!$A$2:$A$101,0))-INDEX('Préstamos'!$K$2:$K$101,MATCH($A497,'Préstamos'!$A$2:$A$101,0))*(INDEX('Préstamos'!$G$2:$G$101,MATCH($A497,'Préstamos'!$A$2:$A$101,0))-1),INDEX('Préstamos'!$K$2:$K$101,MATCH($A497,'Préstamos'!$A$2:$A$101,0))))</f>
        <v/>
      </c>
      <c r="H497" s="29">
        <f>IF($A497="","",F497+G497)</f>
        <v/>
      </c>
      <c r="I497" s="14" t="n"/>
      <c r="J497" s="33" t="n"/>
      <c r="K497" s="16">
        <f>IF(OR($A497="",I497="Pagado"),"",MAX(0,TODAY()-E497))</f>
        <v/>
      </c>
      <c r="L497" s="16">
        <f>IF($A497="","",IF(I497="Pagado","Pagado",IF(E497&lt;TODAY(),"Atrasado",IF(E497&lt;=EOMONTH(TODAY(),0),"Este mes","Pendiente"))))</f>
        <v/>
      </c>
      <c r="M497" s="20">
        <f>IF(OR($A497="",I497="Pagado"),"",HYPERLINK("https://wa.me/"&amp;IF(INDEX('Préstamos'!$C$2:$C$101,MATCH($A497,'Préstamos'!$A$2:$A$101,0))="","","51"&amp;SUBSTITUTE(INDEX('Préstamos'!$C$2:$C$101,MATCH($A497,'Préstamos'!$A$2:$A$101,0))," ",""))&amp;"?text="&amp;SUBSTITUTE("Hola "&amp;B497&amp;", te recuerdo que tu cuota de S/ "&amp;H497&amp;IF(E497&lt;TODAY()," vencio el "," vence el ")&amp;TEXT(E497,"dd/mm")&amp;". Gracias!"," ","%20"),"WhatsApp"))</f>
        <v/>
      </c>
    </row>
    <row r="498">
      <c r="A498" s="14" t="n"/>
      <c r="B498" s="16">
        <f>IF($A498="","",INDEX('Préstamos'!$B$2:$B$101,MATCH($A498,'Préstamos'!$A$2:$A$101,0)))</f>
        <v/>
      </c>
      <c r="C498" s="14" t="n"/>
      <c r="D498" s="14" t="n"/>
      <c r="E498" s="33" t="n"/>
      <c r="F498" s="29">
        <f>IF($A498="","",IF(D498="Solo interés",0,IF(AND(D498&lt;&gt;"Solo interés",C498=INDEX('Préstamos'!$G$2:$G$101,MATCH($A498,'Préstamos'!$A$2:$A$101,0))),INDEX('Préstamos'!$D$2:$D$101,MATCH($A498,'Préstamos'!$A$2:$A$101,0))-INDEX('Préstamos'!$J$2:$J$101,MATCH($A498,'Préstamos'!$A$2:$A$101,0))*(INDEX('Préstamos'!$G$2:$G$101,MATCH($A498,'Préstamos'!$A$2:$A$101,0))-1),INDEX('Préstamos'!$J$2:$J$101,MATCH($A498,'Préstamos'!$A$2:$A$101,0)))))</f>
        <v/>
      </c>
      <c r="G498" s="29">
        <f>IF($A498="","",IF(AND(D498&lt;&gt;"Solo interés",C498=INDEX('Préstamos'!$G$2:$G$101,MATCH($A498,'Préstamos'!$A$2:$A$101,0))),INDEX('Préstamos'!$I$2:$I$101,MATCH($A498,'Préstamos'!$A$2:$A$101,0))-INDEX('Préstamos'!$K$2:$K$101,MATCH($A498,'Préstamos'!$A$2:$A$101,0))*(INDEX('Préstamos'!$G$2:$G$101,MATCH($A498,'Préstamos'!$A$2:$A$101,0))-1),INDEX('Préstamos'!$K$2:$K$101,MATCH($A498,'Préstamos'!$A$2:$A$101,0))))</f>
        <v/>
      </c>
      <c r="H498" s="29">
        <f>IF($A498="","",F498+G498)</f>
        <v/>
      </c>
      <c r="I498" s="14" t="n"/>
      <c r="J498" s="33" t="n"/>
      <c r="K498" s="16">
        <f>IF(OR($A498="",I498="Pagado"),"",MAX(0,TODAY()-E498))</f>
        <v/>
      </c>
      <c r="L498" s="16">
        <f>IF($A498="","",IF(I498="Pagado","Pagado",IF(E498&lt;TODAY(),"Atrasado",IF(E498&lt;=EOMONTH(TODAY(),0),"Este mes","Pendiente"))))</f>
        <v/>
      </c>
      <c r="M498" s="20">
        <f>IF(OR($A498="",I498="Pagado"),"",HYPERLINK("https://wa.me/"&amp;IF(INDEX('Préstamos'!$C$2:$C$101,MATCH($A498,'Préstamos'!$A$2:$A$101,0))="","","51"&amp;SUBSTITUTE(INDEX('Préstamos'!$C$2:$C$101,MATCH($A498,'Préstamos'!$A$2:$A$101,0))," ",""))&amp;"?text="&amp;SUBSTITUTE("Hola "&amp;B498&amp;", te recuerdo que tu cuota de S/ "&amp;H498&amp;IF(E498&lt;TODAY()," vencio el "," vence el ")&amp;TEXT(E498,"dd/mm")&amp;". Gracias!"," ","%20"),"WhatsApp"))</f>
        <v/>
      </c>
    </row>
    <row r="499">
      <c r="A499" s="14" t="n"/>
      <c r="B499" s="16">
        <f>IF($A499="","",INDEX('Préstamos'!$B$2:$B$101,MATCH($A499,'Préstamos'!$A$2:$A$101,0)))</f>
        <v/>
      </c>
      <c r="C499" s="14" t="n"/>
      <c r="D499" s="14" t="n"/>
      <c r="E499" s="33" t="n"/>
      <c r="F499" s="29">
        <f>IF($A499="","",IF(D499="Solo interés",0,IF(AND(D499&lt;&gt;"Solo interés",C499=INDEX('Préstamos'!$G$2:$G$101,MATCH($A499,'Préstamos'!$A$2:$A$101,0))),INDEX('Préstamos'!$D$2:$D$101,MATCH($A499,'Préstamos'!$A$2:$A$101,0))-INDEX('Préstamos'!$J$2:$J$101,MATCH($A499,'Préstamos'!$A$2:$A$101,0))*(INDEX('Préstamos'!$G$2:$G$101,MATCH($A499,'Préstamos'!$A$2:$A$101,0))-1),INDEX('Préstamos'!$J$2:$J$101,MATCH($A499,'Préstamos'!$A$2:$A$101,0)))))</f>
        <v/>
      </c>
      <c r="G499" s="29">
        <f>IF($A499="","",IF(AND(D499&lt;&gt;"Solo interés",C499=INDEX('Préstamos'!$G$2:$G$101,MATCH($A499,'Préstamos'!$A$2:$A$101,0))),INDEX('Préstamos'!$I$2:$I$101,MATCH($A499,'Préstamos'!$A$2:$A$101,0))-INDEX('Préstamos'!$K$2:$K$101,MATCH($A499,'Préstamos'!$A$2:$A$101,0))*(INDEX('Préstamos'!$G$2:$G$101,MATCH($A499,'Préstamos'!$A$2:$A$101,0))-1),INDEX('Préstamos'!$K$2:$K$101,MATCH($A499,'Préstamos'!$A$2:$A$101,0))))</f>
        <v/>
      </c>
      <c r="H499" s="29">
        <f>IF($A499="","",F499+G499)</f>
        <v/>
      </c>
      <c r="I499" s="14" t="n"/>
      <c r="J499" s="33" t="n"/>
      <c r="K499" s="16">
        <f>IF(OR($A499="",I499="Pagado"),"",MAX(0,TODAY()-E499))</f>
        <v/>
      </c>
      <c r="L499" s="16">
        <f>IF($A499="","",IF(I499="Pagado","Pagado",IF(E499&lt;TODAY(),"Atrasado",IF(E499&lt;=EOMONTH(TODAY(),0),"Este mes","Pendiente"))))</f>
        <v/>
      </c>
      <c r="M499" s="20">
        <f>IF(OR($A499="",I499="Pagado"),"",HYPERLINK("https://wa.me/"&amp;IF(INDEX('Préstamos'!$C$2:$C$101,MATCH($A499,'Préstamos'!$A$2:$A$101,0))="","","51"&amp;SUBSTITUTE(INDEX('Préstamos'!$C$2:$C$101,MATCH($A499,'Préstamos'!$A$2:$A$101,0))," ",""))&amp;"?text="&amp;SUBSTITUTE("Hola "&amp;B499&amp;", te recuerdo que tu cuota de S/ "&amp;H499&amp;IF(E499&lt;TODAY()," vencio el "," vence el ")&amp;TEXT(E499,"dd/mm")&amp;". Gracias!"," ","%20"),"WhatsApp"))</f>
        <v/>
      </c>
    </row>
    <row r="500">
      <c r="A500" s="14" t="n"/>
      <c r="B500" s="16">
        <f>IF($A500="","",INDEX('Préstamos'!$B$2:$B$101,MATCH($A500,'Préstamos'!$A$2:$A$101,0)))</f>
        <v/>
      </c>
      <c r="C500" s="14" t="n"/>
      <c r="D500" s="14" t="n"/>
      <c r="E500" s="33" t="n"/>
      <c r="F500" s="29">
        <f>IF($A500="","",IF(D500="Solo interés",0,IF(AND(D500&lt;&gt;"Solo interés",C500=INDEX('Préstamos'!$G$2:$G$101,MATCH($A500,'Préstamos'!$A$2:$A$101,0))),INDEX('Préstamos'!$D$2:$D$101,MATCH($A500,'Préstamos'!$A$2:$A$101,0))-INDEX('Préstamos'!$J$2:$J$101,MATCH($A500,'Préstamos'!$A$2:$A$101,0))*(INDEX('Préstamos'!$G$2:$G$101,MATCH($A500,'Préstamos'!$A$2:$A$101,0))-1),INDEX('Préstamos'!$J$2:$J$101,MATCH($A500,'Préstamos'!$A$2:$A$101,0)))))</f>
        <v/>
      </c>
      <c r="G500" s="29">
        <f>IF($A500="","",IF(AND(D500&lt;&gt;"Solo interés",C500=INDEX('Préstamos'!$G$2:$G$101,MATCH($A500,'Préstamos'!$A$2:$A$101,0))),INDEX('Préstamos'!$I$2:$I$101,MATCH($A500,'Préstamos'!$A$2:$A$101,0))-INDEX('Préstamos'!$K$2:$K$101,MATCH($A500,'Préstamos'!$A$2:$A$101,0))*(INDEX('Préstamos'!$G$2:$G$101,MATCH($A500,'Préstamos'!$A$2:$A$101,0))-1),INDEX('Préstamos'!$K$2:$K$101,MATCH($A500,'Préstamos'!$A$2:$A$101,0))))</f>
        <v/>
      </c>
      <c r="H500" s="29">
        <f>IF($A500="","",F500+G500)</f>
        <v/>
      </c>
      <c r="I500" s="14" t="n"/>
      <c r="J500" s="33" t="n"/>
      <c r="K500" s="16">
        <f>IF(OR($A500="",I500="Pagado"),"",MAX(0,TODAY()-E500))</f>
        <v/>
      </c>
      <c r="L500" s="16">
        <f>IF($A500="","",IF(I500="Pagado","Pagado",IF(E500&lt;TODAY(),"Atrasado",IF(E500&lt;=EOMONTH(TODAY(),0),"Este mes","Pendiente"))))</f>
        <v/>
      </c>
      <c r="M500" s="20">
        <f>IF(OR($A500="",I500="Pagado"),"",HYPERLINK("https://wa.me/"&amp;IF(INDEX('Préstamos'!$C$2:$C$101,MATCH($A500,'Préstamos'!$A$2:$A$101,0))="","","51"&amp;SUBSTITUTE(INDEX('Préstamos'!$C$2:$C$101,MATCH($A500,'Préstamos'!$A$2:$A$101,0))," ",""))&amp;"?text="&amp;SUBSTITUTE("Hola "&amp;B500&amp;", te recuerdo que tu cuota de S/ "&amp;H500&amp;IF(E500&lt;TODAY()," vencio el "," vence el ")&amp;TEXT(E500,"dd/mm")&amp;". Gracias!"," ","%20"),"WhatsApp"))</f>
        <v/>
      </c>
    </row>
    <row r="501">
      <c r="A501" s="14" t="n"/>
      <c r="B501" s="16">
        <f>IF($A501="","",INDEX('Préstamos'!$B$2:$B$101,MATCH($A501,'Préstamos'!$A$2:$A$101,0)))</f>
        <v/>
      </c>
      <c r="C501" s="14" t="n"/>
      <c r="D501" s="14" t="n"/>
      <c r="E501" s="33" t="n"/>
      <c r="F501" s="29">
        <f>IF($A501="","",IF(D501="Solo interés",0,IF(AND(D501&lt;&gt;"Solo interés",C501=INDEX('Préstamos'!$G$2:$G$101,MATCH($A501,'Préstamos'!$A$2:$A$101,0))),INDEX('Préstamos'!$D$2:$D$101,MATCH($A501,'Préstamos'!$A$2:$A$101,0))-INDEX('Préstamos'!$J$2:$J$101,MATCH($A501,'Préstamos'!$A$2:$A$101,0))*(INDEX('Préstamos'!$G$2:$G$101,MATCH($A501,'Préstamos'!$A$2:$A$101,0))-1),INDEX('Préstamos'!$J$2:$J$101,MATCH($A501,'Préstamos'!$A$2:$A$101,0)))))</f>
        <v/>
      </c>
      <c r="G501" s="29">
        <f>IF($A501="","",IF(AND(D501&lt;&gt;"Solo interés",C501=INDEX('Préstamos'!$G$2:$G$101,MATCH($A501,'Préstamos'!$A$2:$A$101,0))),INDEX('Préstamos'!$I$2:$I$101,MATCH($A501,'Préstamos'!$A$2:$A$101,0))-INDEX('Préstamos'!$K$2:$K$101,MATCH($A501,'Préstamos'!$A$2:$A$101,0))*(INDEX('Préstamos'!$G$2:$G$101,MATCH($A501,'Préstamos'!$A$2:$A$101,0))-1),INDEX('Préstamos'!$K$2:$K$101,MATCH($A501,'Préstamos'!$A$2:$A$101,0))))</f>
        <v/>
      </c>
      <c r="H501" s="29">
        <f>IF($A501="","",F501+G501)</f>
        <v/>
      </c>
      <c r="I501" s="14" t="n"/>
      <c r="J501" s="33" t="n"/>
      <c r="K501" s="16">
        <f>IF(OR($A501="",I501="Pagado"),"",MAX(0,TODAY()-E501))</f>
        <v/>
      </c>
      <c r="L501" s="16">
        <f>IF($A501="","",IF(I501="Pagado","Pagado",IF(E501&lt;TODAY(),"Atrasado",IF(E501&lt;=EOMONTH(TODAY(),0),"Este mes","Pendiente"))))</f>
        <v/>
      </c>
      <c r="M501" s="20">
        <f>IF(OR($A501="",I501="Pagado"),"",HYPERLINK("https://wa.me/"&amp;IF(INDEX('Préstamos'!$C$2:$C$101,MATCH($A501,'Préstamos'!$A$2:$A$101,0))="","","51"&amp;SUBSTITUTE(INDEX('Préstamos'!$C$2:$C$101,MATCH($A501,'Préstamos'!$A$2:$A$101,0))," ",""))&amp;"?text="&amp;SUBSTITUTE("Hola "&amp;B501&amp;", te recuerdo que tu cuota de S/ "&amp;H501&amp;IF(E501&lt;TODAY()," vencio el "," vence el ")&amp;TEXT(E501,"dd/mm")&amp;". Gracias!"," ","%20"),"WhatsApp"))</f>
        <v/>
      </c>
    </row>
    <row r="502">
      <c r="A502" s="14" t="n"/>
      <c r="B502" s="16">
        <f>IF($A502="","",INDEX('Préstamos'!$B$2:$B$101,MATCH($A502,'Préstamos'!$A$2:$A$101,0)))</f>
        <v/>
      </c>
      <c r="C502" s="14" t="n"/>
      <c r="D502" s="14" t="n"/>
      <c r="E502" s="33" t="n"/>
      <c r="F502" s="29">
        <f>IF($A502="","",IF(D502="Solo interés",0,IF(AND(D502&lt;&gt;"Solo interés",C502=INDEX('Préstamos'!$G$2:$G$101,MATCH($A502,'Préstamos'!$A$2:$A$101,0))),INDEX('Préstamos'!$D$2:$D$101,MATCH($A502,'Préstamos'!$A$2:$A$101,0))-INDEX('Préstamos'!$J$2:$J$101,MATCH($A502,'Préstamos'!$A$2:$A$101,0))*(INDEX('Préstamos'!$G$2:$G$101,MATCH($A502,'Préstamos'!$A$2:$A$101,0))-1),INDEX('Préstamos'!$J$2:$J$101,MATCH($A502,'Préstamos'!$A$2:$A$101,0)))))</f>
        <v/>
      </c>
      <c r="G502" s="29">
        <f>IF($A502="","",IF(AND(D502&lt;&gt;"Solo interés",C502=INDEX('Préstamos'!$G$2:$G$101,MATCH($A502,'Préstamos'!$A$2:$A$101,0))),INDEX('Préstamos'!$I$2:$I$101,MATCH($A502,'Préstamos'!$A$2:$A$101,0))-INDEX('Préstamos'!$K$2:$K$101,MATCH($A502,'Préstamos'!$A$2:$A$101,0))*(INDEX('Préstamos'!$G$2:$G$101,MATCH($A502,'Préstamos'!$A$2:$A$101,0))-1),INDEX('Préstamos'!$K$2:$K$101,MATCH($A502,'Préstamos'!$A$2:$A$101,0))))</f>
        <v/>
      </c>
      <c r="H502" s="29">
        <f>IF($A502="","",F502+G502)</f>
        <v/>
      </c>
      <c r="I502" s="14" t="n"/>
      <c r="J502" s="33" t="n"/>
      <c r="K502" s="16">
        <f>IF(OR($A502="",I502="Pagado"),"",MAX(0,TODAY()-E502))</f>
        <v/>
      </c>
      <c r="L502" s="16">
        <f>IF($A502="","",IF(I502="Pagado","Pagado",IF(E502&lt;TODAY(),"Atrasado",IF(E502&lt;=EOMONTH(TODAY(),0),"Este mes","Pendiente"))))</f>
        <v/>
      </c>
      <c r="M502" s="20">
        <f>IF(OR($A502="",I502="Pagado"),"",HYPERLINK("https://wa.me/"&amp;IF(INDEX('Préstamos'!$C$2:$C$101,MATCH($A502,'Préstamos'!$A$2:$A$101,0))="","","51"&amp;SUBSTITUTE(INDEX('Préstamos'!$C$2:$C$101,MATCH($A502,'Préstamos'!$A$2:$A$101,0))," ",""))&amp;"?text="&amp;SUBSTITUTE("Hola "&amp;B502&amp;", te recuerdo que tu cuota de S/ "&amp;H502&amp;IF(E502&lt;TODAY()," vencio el "," vence el ")&amp;TEXT(E502,"dd/mm")&amp;". Gracias!"," ","%20"),"WhatsApp"))</f>
        <v/>
      </c>
    </row>
    <row r="503">
      <c r="A503" s="14" t="n"/>
      <c r="B503" s="16">
        <f>IF($A503="","",INDEX('Préstamos'!$B$2:$B$101,MATCH($A503,'Préstamos'!$A$2:$A$101,0)))</f>
        <v/>
      </c>
      <c r="C503" s="14" t="n"/>
      <c r="D503" s="14" t="n"/>
      <c r="E503" s="33" t="n"/>
      <c r="F503" s="29">
        <f>IF($A503="","",IF(D503="Solo interés",0,IF(AND(D503&lt;&gt;"Solo interés",C503=INDEX('Préstamos'!$G$2:$G$101,MATCH($A503,'Préstamos'!$A$2:$A$101,0))),INDEX('Préstamos'!$D$2:$D$101,MATCH($A503,'Préstamos'!$A$2:$A$101,0))-INDEX('Préstamos'!$J$2:$J$101,MATCH($A503,'Préstamos'!$A$2:$A$101,0))*(INDEX('Préstamos'!$G$2:$G$101,MATCH($A503,'Préstamos'!$A$2:$A$101,0))-1),INDEX('Préstamos'!$J$2:$J$101,MATCH($A503,'Préstamos'!$A$2:$A$101,0)))))</f>
        <v/>
      </c>
      <c r="G503" s="29">
        <f>IF($A503="","",IF(AND(D503&lt;&gt;"Solo interés",C503=INDEX('Préstamos'!$G$2:$G$101,MATCH($A503,'Préstamos'!$A$2:$A$101,0))),INDEX('Préstamos'!$I$2:$I$101,MATCH($A503,'Préstamos'!$A$2:$A$101,0))-INDEX('Préstamos'!$K$2:$K$101,MATCH($A503,'Préstamos'!$A$2:$A$101,0))*(INDEX('Préstamos'!$G$2:$G$101,MATCH($A503,'Préstamos'!$A$2:$A$101,0))-1),INDEX('Préstamos'!$K$2:$K$101,MATCH($A503,'Préstamos'!$A$2:$A$101,0))))</f>
        <v/>
      </c>
      <c r="H503" s="29">
        <f>IF($A503="","",F503+G503)</f>
        <v/>
      </c>
      <c r="I503" s="14" t="n"/>
      <c r="J503" s="33" t="n"/>
      <c r="K503" s="16">
        <f>IF(OR($A503="",I503="Pagado"),"",MAX(0,TODAY()-E503))</f>
        <v/>
      </c>
      <c r="L503" s="16">
        <f>IF($A503="","",IF(I503="Pagado","Pagado",IF(E503&lt;TODAY(),"Atrasado",IF(E503&lt;=EOMONTH(TODAY(),0),"Este mes","Pendiente"))))</f>
        <v/>
      </c>
      <c r="M503" s="20">
        <f>IF(OR($A503="",I503="Pagado"),"",HYPERLINK("https://wa.me/"&amp;IF(INDEX('Préstamos'!$C$2:$C$101,MATCH($A503,'Préstamos'!$A$2:$A$101,0))="","","51"&amp;SUBSTITUTE(INDEX('Préstamos'!$C$2:$C$101,MATCH($A503,'Préstamos'!$A$2:$A$101,0))," ",""))&amp;"?text="&amp;SUBSTITUTE("Hola "&amp;B503&amp;", te recuerdo que tu cuota de S/ "&amp;H503&amp;IF(E503&lt;TODAY()," vencio el "," vence el ")&amp;TEXT(E503,"dd/mm")&amp;". Gracias!"," ","%20"),"WhatsApp"))</f>
        <v/>
      </c>
    </row>
    <row r="504">
      <c r="A504" s="14" t="n"/>
      <c r="B504" s="16">
        <f>IF($A504="","",INDEX('Préstamos'!$B$2:$B$101,MATCH($A504,'Préstamos'!$A$2:$A$101,0)))</f>
        <v/>
      </c>
      <c r="C504" s="14" t="n"/>
      <c r="D504" s="14" t="n"/>
      <c r="E504" s="33" t="n"/>
      <c r="F504" s="29">
        <f>IF($A504="","",IF(D504="Solo interés",0,IF(AND(D504&lt;&gt;"Solo interés",C504=INDEX('Préstamos'!$G$2:$G$101,MATCH($A504,'Préstamos'!$A$2:$A$101,0))),INDEX('Préstamos'!$D$2:$D$101,MATCH($A504,'Préstamos'!$A$2:$A$101,0))-INDEX('Préstamos'!$J$2:$J$101,MATCH($A504,'Préstamos'!$A$2:$A$101,0))*(INDEX('Préstamos'!$G$2:$G$101,MATCH($A504,'Préstamos'!$A$2:$A$101,0))-1),INDEX('Préstamos'!$J$2:$J$101,MATCH($A504,'Préstamos'!$A$2:$A$101,0)))))</f>
        <v/>
      </c>
      <c r="G504" s="29">
        <f>IF($A504="","",IF(AND(D504&lt;&gt;"Solo interés",C504=INDEX('Préstamos'!$G$2:$G$101,MATCH($A504,'Préstamos'!$A$2:$A$101,0))),INDEX('Préstamos'!$I$2:$I$101,MATCH($A504,'Préstamos'!$A$2:$A$101,0))-INDEX('Préstamos'!$K$2:$K$101,MATCH($A504,'Préstamos'!$A$2:$A$101,0))*(INDEX('Préstamos'!$G$2:$G$101,MATCH($A504,'Préstamos'!$A$2:$A$101,0))-1),INDEX('Préstamos'!$K$2:$K$101,MATCH($A504,'Préstamos'!$A$2:$A$101,0))))</f>
        <v/>
      </c>
      <c r="H504" s="29">
        <f>IF($A504="","",F504+G504)</f>
        <v/>
      </c>
      <c r="I504" s="14" t="n"/>
      <c r="J504" s="33" t="n"/>
      <c r="K504" s="16">
        <f>IF(OR($A504="",I504="Pagado"),"",MAX(0,TODAY()-E504))</f>
        <v/>
      </c>
      <c r="L504" s="16">
        <f>IF($A504="","",IF(I504="Pagado","Pagado",IF(E504&lt;TODAY(),"Atrasado",IF(E504&lt;=EOMONTH(TODAY(),0),"Este mes","Pendiente"))))</f>
        <v/>
      </c>
      <c r="M504" s="20">
        <f>IF(OR($A504="",I504="Pagado"),"",HYPERLINK("https://wa.me/"&amp;IF(INDEX('Préstamos'!$C$2:$C$101,MATCH($A504,'Préstamos'!$A$2:$A$101,0))="","","51"&amp;SUBSTITUTE(INDEX('Préstamos'!$C$2:$C$101,MATCH($A504,'Préstamos'!$A$2:$A$101,0))," ",""))&amp;"?text="&amp;SUBSTITUTE("Hola "&amp;B504&amp;", te recuerdo que tu cuota de S/ "&amp;H504&amp;IF(E504&lt;TODAY()," vencio el "," vence el ")&amp;TEXT(E504,"dd/mm")&amp;". Gracias!"," ","%20"),"WhatsApp"))</f>
        <v/>
      </c>
    </row>
    <row r="505">
      <c r="A505" s="14" t="n"/>
      <c r="B505" s="16">
        <f>IF($A505="","",INDEX('Préstamos'!$B$2:$B$101,MATCH($A505,'Préstamos'!$A$2:$A$101,0)))</f>
        <v/>
      </c>
      <c r="C505" s="14" t="n"/>
      <c r="D505" s="14" t="n"/>
      <c r="E505" s="33" t="n"/>
      <c r="F505" s="29">
        <f>IF($A505="","",IF(D505="Solo interés",0,IF(AND(D505&lt;&gt;"Solo interés",C505=INDEX('Préstamos'!$G$2:$G$101,MATCH($A505,'Préstamos'!$A$2:$A$101,0))),INDEX('Préstamos'!$D$2:$D$101,MATCH($A505,'Préstamos'!$A$2:$A$101,0))-INDEX('Préstamos'!$J$2:$J$101,MATCH($A505,'Préstamos'!$A$2:$A$101,0))*(INDEX('Préstamos'!$G$2:$G$101,MATCH($A505,'Préstamos'!$A$2:$A$101,0))-1),INDEX('Préstamos'!$J$2:$J$101,MATCH($A505,'Préstamos'!$A$2:$A$101,0)))))</f>
        <v/>
      </c>
      <c r="G505" s="29">
        <f>IF($A505="","",IF(AND(D505&lt;&gt;"Solo interés",C505=INDEX('Préstamos'!$G$2:$G$101,MATCH($A505,'Préstamos'!$A$2:$A$101,0))),INDEX('Préstamos'!$I$2:$I$101,MATCH($A505,'Préstamos'!$A$2:$A$101,0))-INDEX('Préstamos'!$K$2:$K$101,MATCH($A505,'Préstamos'!$A$2:$A$101,0))*(INDEX('Préstamos'!$G$2:$G$101,MATCH($A505,'Préstamos'!$A$2:$A$101,0))-1),INDEX('Préstamos'!$K$2:$K$101,MATCH($A505,'Préstamos'!$A$2:$A$101,0))))</f>
        <v/>
      </c>
      <c r="H505" s="29">
        <f>IF($A505="","",F505+G505)</f>
        <v/>
      </c>
      <c r="I505" s="14" t="n"/>
      <c r="J505" s="33" t="n"/>
      <c r="K505" s="16">
        <f>IF(OR($A505="",I505="Pagado"),"",MAX(0,TODAY()-E505))</f>
        <v/>
      </c>
      <c r="L505" s="16">
        <f>IF($A505="","",IF(I505="Pagado","Pagado",IF(E505&lt;TODAY(),"Atrasado",IF(E505&lt;=EOMONTH(TODAY(),0),"Este mes","Pendiente"))))</f>
        <v/>
      </c>
      <c r="M505" s="20">
        <f>IF(OR($A505="",I505="Pagado"),"",HYPERLINK("https://wa.me/"&amp;IF(INDEX('Préstamos'!$C$2:$C$101,MATCH($A505,'Préstamos'!$A$2:$A$101,0))="","","51"&amp;SUBSTITUTE(INDEX('Préstamos'!$C$2:$C$101,MATCH($A505,'Préstamos'!$A$2:$A$101,0))," ",""))&amp;"?text="&amp;SUBSTITUTE("Hola "&amp;B505&amp;", te recuerdo que tu cuota de S/ "&amp;H505&amp;IF(E505&lt;TODAY()," vencio el "," vence el ")&amp;TEXT(E505,"dd/mm")&amp;". Gracias!"," ","%20"),"WhatsApp"))</f>
        <v/>
      </c>
    </row>
    <row r="506">
      <c r="A506" s="14" t="n"/>
      <c r="B506" s="16">
        <f>IF($A506="","",INDEX('Préstamos'!$B$2:$B$101,MATCH($A506,'Préstamos'!$A$2:$A$101,0)))</f>
        <v/>
      </c>
      <c r="C506" s="14" t="n"/>
      <c r="D506" s="14" t="n"/>
      <c r="E506" s="33" t="n"/>
      <c r="F506" s="29">
        <f>IF($A506="","",IF(D506="Solo interés",0,IF(AND(D506&lt;&gt;"Solo interés",C506=INDEX('Préstamos'!$G$2:$G$101,MATCH($A506,'Préstamos'!$A$2:$A$101,0))),INDEX('Préstamos'!$D$2:$D$101,MATCH($A506,'Préstamos'!$A$2:$A$101,0))-INDEX('Préstamos'!$J$2:$J$101,MATCH($A506,'Préstamos'!$A$2:$A$101,0))*(INDEX('Préstamos'!$G$2:$G$101,MATCH($A506,'Préstamos'!$A$2:$A$101,0))-1),INDEX('Préstamos'!$J$2:$J$101,MATCH($A506,'Préstamos'!$A$2:$A$101,0)))))</f>
        <v/>
      </c>
      <c r="G506" s="29">
        <f>IF($A506="","",IF(AND(D506&lt;&gt;"Solo interés",C506=INDEX('Préstamos'!$G$2:$G$101,MATCH($A506,'Préstamos'!$A$2:$A$101,0))),INDEX('Préstamos'!$I$2:$I$101,MATCH($A506,'Préstamos'!$A$2:$A$101,0))-INDEX('Préstamos'!$K$2:$K$101,MATCH($A506,'Préstamos'!$A$2:$A$101,0))*(INDEX('Préstamos'!$G$2:$G$101,MATCH($A506,'Préstamos'!$A$2:$A$101,0))-1),INDEX('Préstamos'!$K$2:$K$101,MATCH($A506,'Préstamos'!$A$2:$A$101,0))))</f>
        <v/>
      </c>
      <c r="H506" s="29">
        <f>IF($A506="","",F506+G506)</f>
        <v/>
      </c>
      <c r="I506" s="14" t="n"/>
      <c r="J506" s="33" t="n"/>
      <c r="K506" s="16">
        <f>IF(OR($A506="",I506="Pagado"),"",MAX(0,TODAY()-E506))</f>
        <v/>
      </c>
      <c r="L506" s="16">
        <f>IF($A506="","",IF(I506="Pagado","Pagado",IF(E506&lt;TODAY(),"Atrasado",IF(E506&lt;=EOMONTH(TODAY(),0),"Este mes","Pendiente"))))</f>
        <v/>
      </c>
      <c r="M506" s="20">
        <f>IF(OR($A506="",I506="Pagado"),"",HYPERLINK("https://wa.me/"&amp;IF(INDEX('Préstamos'!$C$2:$C$101,MATCH($A506,'Préstamos'!$A$2:$A$101,0))="","","51"&amp;SUBSTITUTE(INDEX('Préstamos'!$C$2:$C$101,MATCH($A506,'Préstamos'!$A$2:$A$101,0))," ",""))&amp;"?text="&amp;SUBSTITUTE("Hola "&amp;B506&amp;", te recuerdo que tu cuota de S/ "&amp;H506&amp;IF(E506&lt;TODAY()," vencio el "," vence el ")&amp;TEXT(E506,"dd/mm")&amp;". Gracias!"," ","%20"),"WhatsApp"))</f>
        <v/>
      </c>
    </row>
    <row r="507">
      <c r="A507" s="14" t="n"/>
      <c r="B507" s="16">
        <f>IF($A507="","",INDEX('Préstamos'!$B$2:$B$101,MATCH($A507,'Préstamos'!$A$2:$A$101,0)))</f>
        <v/>
      </c>
      <c r="C507" s="14" t="n"/>
      <c r="D507" s="14" t="n"/>
      <c r="E507" s="33" t="n"/>
      <c r="F507" s="29">
        <f>IF($A507="","",IF(D507="Solo interés",0,IF(AND(D507&lt;&gt;"Solo interés",C507=INDEX('Préstamos'!$G$2:$G$101,MATCH($A507,'Préstamos'!$A$2:$A$101,0))),INDEX('Préstamos'!$D$2:$D$101,MATCH($A507,'Préstamos'!$A$2:$A$101,0))-INDEX('Préstamos'!$J$2:$J$101,MATCH($A507,'Préstamos'!$A$2:$A$101,0))*(INDEX('Préstamos'!$G$2:$G$101,MATCH($A507,'Préstamos'!$A$2:$A$101,0))-1),INDEX('Préstamos'!$J$2:$J$101,MATCH($A507,'Préstamos'!$A$2:$A$101,0)))))</f>
        <v/>
      </c>
      <c r="G507" s="29">
        <f>IF($A507="","",IF(AND(D507&lt;&gt;"Solo interés",C507=INDEX('Préstamos'!$G$2:$G$101,MATCH($A507,'Préstamos'!$A$2:$A$101,0))),INDEX('Préstamos'!$I$2:$I$101,MATCH($A507,'Préstamos'!$A$2:$A$101,0))-INDEX('Préstamos'!$K$2:$K$101,MATCH($A507,'Préstamos'!$A$2:$A$101,0))*(INDEX('Préstamos'!$G$2:$G$101,MATCH($A507,'Préstamos'!$A$2:$A$101,0))-1),INDEX('Préstamos'!$K$2:$K$101,MATCH($A507,'Préstamos'!$A$2:$A$101,0))))</f>
        <v/>
      </c>
      <c r="H507" s="29">
        <f>IF($A507="","",F507+G507)</f>
        <v/>
      </c>
      <c r="I507" s="14" t="n"/>
      <c r="J507" s="33" t="n"/>
      <c r="K507" s="16">
        <f>IF(OR($A507="",I507="Pagado"),"",MAX(0,TODAY()-E507))</f>
        <v/>
      </c>
      <c r="L507" s="16">
        <f>IF($A507="","",IF(I507="Pagado","Pagado",IF(E507&lt;TODAY(),"Atrasado",IF(E507&lt;=EOMONTH(TODAY(),0),"Este mes","Pendiente"))))</f>
        <v/>
      </c>
      <c r="M507" s="20">
        <f>IF(OR($A507="",I507="Pagado"),"",HYPERLINK("https://wa.me/"&amp;IF(INDEX('Préstamos'!$C$2:$C$101,MATCH($A507,'Préstamos'!$A$2:$A$101,0))="","","51"&amp;SUBSTITUTE(INDEX('Préstamos'!$C$2:$C$101,MATCH($A507,'Préstamos'!$A$2:$A$101,0))," ",""))&amp;"?text="&amp;SUBSTITUTE("Hola "&amp;B507&amp;", te recuerdo que tu cuota de S/ "&amp;H507&amp;IF(E507&lt;TODAY()," vencio el "," vence el ")&amp;TEXT(E507,"dd/mm")&amp;". Gracias!"," ","%20"),"WhatsApp"))</f>
        <v/>
      </c>
    </row>
    <row r="508">
      <c r="A508" s="14" t="n"/>
      <c r="B508" s="16">
        <f>IF($A508="","",INDEX('Préstamos'!$B$2:$B$101,MATCH($A508,'Préstamos'!$A$2:$A$101,0)))</f>
        <v/>
      </c>
      <c r="C508" s="14" t="n"/>
      <c r="D508" s="14" t="n"/>
      <c r="E508" s="33" t="n"/>
      <c r="F508" s="29">
        <f>IF($A508="","",IF(D508="Solo interés",0,IF(AND(D508&lt;&gt;"Solo interés",C508=INDEX('Préstamos'!$G$2:$G$101,MATCH($A508,'Préstamos'!$A$2:$A$101,0))),INDEX('Préstamos'!$D$2:$D$101,MATCH($A508,'Préstamos'!$A$2:$A$101,0))-INDEX('Préstamos'!$J$2:$J$101,MATCH($A508,'Préstamos'!$A$2:$A$101,0))*(INDEX('Préstamos'!$G$2:$G$101,MATCH($A508,'Préstamos'!$A$2:$A$101,0))-1),INDEX('Préstamos'!$J$2:$J$101,MATCH($A508,'Préstamos'!$A$2:$A$101,0)))))</f>
        <v/>
      </c>
      <c r="G508" s="29">
        <f>IF($A508="","",IF(AND(D508&lt;&gt;"Solo interés",C508=INDEX('Préstamos'!$G$2:$G$101,MATCH($A508,'Préstamos'!$A$2:$A$101,0))),INDEX('Préstamos'!$I$2:$I$101,MATCH($A508,'Préstamos'!$A$2:$A$101,0))-INDEX('Préstamos'!$K$2:$K$101,MATCH($A508,'Préstamos'!$A$2:$A$101,0))*(INDEX('Préstamos'!$G$2:$G$101,MATCH($A508,'Préstamos'!$A$2:$A$101,0))-1),INDEX('Préstamos'!$K$2:$K$101,MATCH($A508,'Préstamos'!$A$2:$A$101,0))))</f>
        <v/>
      </c>
      <c r="H508" s="29">
        <f>IF($A508="","",F508+G508)</f>
        <v/>
      </c>
      <c r="I508" s="14" t="n"/>
      <c r="J508" s="33" t="n"/>
      <c r="K508" s="16">
        <f>IF(OR($A508="",I508="Pagado"),"",MAX(0,TODAY()-E508))</f>
        <v/>
      </c>
      <c r="L508" s="16">
        <f>IF($A508="","",IF(I508="Pagado","Pagado",IF(E508&lt;TODAY(),"Atrasado",IF(E508&lt;=EOMONTH(TODAY(),0),"Este mes","Pendiente"))))</f>
        <v/>
      </c>
      <c r="M508" s="20">
        <f>IF(OR($A508="",I508="Pagado"),"",HYPERLINK("https://wa.me/"&amp;IF(INDEX('Préstamos'!$C$2:$C$101,MATCH($A508,'Préstamos'!$A$2:$A$101,0))="","","51"&amp;SUBSTITUTE(INDEX('Préstamos'!$C$2:$C$101,MATCH($A508,'Préstamos'!$A$2:$A$101,0))," ",""))&amp;"?text="&amp;SUBSTITUTE("Hola "&amp;B508&amp;", te recuerdo que tu cuota de S/ "&amp;H508&amp;IF(E508&lt;TODAY()," vencio el "," vence el ")&amp;TEXT(E508,"dd/mm")&amp;". Gracias!"," ","%20"),"WhatsApp"))</f>
        <v/>
      </c>
    </row>
    <row r="509">
      <c r="A509" s="14" t="n"/>
      <c r="B509" s="16">
        <f>IF($A509="","",INDEX('Préstamos'!$B$2:$B$101,MATCH($A509,'Préstamos'!$A$2:$A$101,0)))</f>
        <v/>
      </c>
      <c r="C509" s="14" t="n"/>
      <c r="D509" s="14" t="n"/>
      <c r="E509" s="33" t="n"/>
      <c r="F509" s="29">
        <f>IF($A509="","",IF(D509="Solo interés",0,IF(AND(D509&lt;&gt;"Solo interés",C509=INDEX('Préstamos'!$G$2:$G$101,MATCH($A509,'Préstamos'!$A$2:$A$101,0))),INDEX('Préstamos'!$D$2:$D$101,MATCH($A509,'Préstamos'!$A$2:$A$101,0))-INDEX('Préstamos'!$J$2:$J$101,MATCH($A509,'Préstamos'!$A$2:$A$101,0))*(INDEX('Préstamos'!$G$2:$G$101,MATCH($A509,'Préstamos'!$A$2:$A$101,0))-1),INDEX('Préstamos'!$J$2:$J$101,MATCH($A509,'Préstamos'!$A$2:$A$101,0)))))</f>
        <v/>
      </c>
      <c r="G509" s="29">
        <f>IF($A509="","",IF(AND(D509&lt;&gt;"Solo interés",C509=INDEX('Préstamos'!$G$2:$G$101,MATCH($A509,'Préstamos'!$A$2:$A$101,0))),INDEX('Préstamos'!$I$2:$I$101,MATCH($A509,'Préstamos'!$A$2:$A$101,0))-INDEX('Préstamos'!$K$2:$K$101,MATCH($A509,'Préstamos'!$A$2:$A$101,0))*(INDEX('Préstamos'!$G$2:$G$101,MATCH($A509,'Préstamos'!$A$2:$A$101,0))-1),INDEX('Préstamos'!$K$2:$K$101,MATCH($A509,'Préstamos'!$A$2:$A$101,0))))</f>
        <v/>
      </c>
      <c r="H509" s="29">
        <f>IF($A509="","",F509+G509)</f>
        <v/>
      </c>
      <c r="I509" s="14" t="n"/>
      <c r="J509" s="33" t="n"/>
      <c r="K509" s="16">
        <f>IF(OR($A509="",I509="Pagado"),"",MAX(0,TODAY()-E509))</f>
        <v/>
      </c>
      <c r="L509" s="16">
        <f>IF($A509="","",IF(I509="Pagado","Pagado",IF(E509&lt;TODAY(),"Atrasado",IF(E509&lt;=EOMONTH(TODAY(),0),"Este mes","Pendiente"))))</f>
        <v/>
      </c>
      <c r="M509" s="20">
        <f>IF(OR($A509="",I509="Pagado"),"",HYPERLINK("https://wa.me/"&amp;IF(INDEX('Préstamos'!$C$2:$C$101,MATCH($A509,'Préstamos'!$A$2:$A$101,0))="","","51"&amp;SUBSTITUTE(INDEX('Préstamos'!$C$2:$C$101,MATCH($A509,'Préstamos'!$A$2:$A$101,0))," ",""))&amp;"?text="&amp;SUBSTITUTE("Hola "&amp;B509&amp;", te recuerdo que tu cuota de S/ "&amp;H509&amp;IF(E509&lt;TODAY()," vencio el "," vence el ")&amp;TEXT(E509,"dd/mm")&amp;". Gracias!"," ","%20"),"WhatsApp"))</f>
        <v/>
      </c>
    </row>
    <row r="510">
      <c r="A510" s="14" t="n"/>
      <c r="B510" s="16">
        <f>IF($A510="","",INDEX('Préstamos'!$B$2:$B$101,MATCH($A510,'Préstamos'!$A$2:$A$101,0)))</f>
        <v/>
      </c>
      <c r="C510" s="14" t="n"/>
      <c r="D510" s="14" t="n"/>
      <c r="E510" s="33" t="n"/>
      <c r="F510" s="29">
        <f>IF($A510="","",IF(D510="Solo interés",0,IF(AND(D510&lt;&gt;"Solo interés",C510=INDEX('Préstamos'!$G$2:$G$101,MATCH($A510,'Préstamos'!$A$2:$A$101,0))),INDEX('Préstamos'!$D$2:$D$101,MATCH($A510,'Préstamos'!$A$2:$A$101,0))-INDEX('Préstamos'!$J$2:$J$101,MATCH($A510,'Préstamos'!$A$2:$A$101,0))*(INDEX('Préstamos'!$G$2:$G$101,MATCH($A510,'Préstamos'!$A$2:$A$101,0))-1),INDEX('Préstamos'!$J$2:$J$101,MATCH($A510,'Préstamos'!$A$2:$A$101,0)))))</f>
        <v/>
      </c>
      <c r="G510" s="29">
        <f>IF($A510="","",IF(AND(D510&lt;&gt;"Solo interés",C510=INDEX('Préstamos'!$G$2:$G$101,MATCH($A510,'Préstamos'!$A$2:$A$101,0))),INDEX('Préstamos'!$I$2:$I$101,MATCH($A510,'Préstamos'!$A$2:$A$101,0))-INDEX('Préstamos'!$K$2:$K$101,MATCH($A510,'Préstamos'!$A$2:$A$101,0))*(INDEX('Préstamos'!$G$2:$G$101,MATCH($A510,'Préstamos'!$A$2:$A$101,0))-1),INDEX('Préstamos'!$K$2:$K$101,MATCH($A510,'Préstamos'!$A$2:$A$101,0))))</f>
        <v/>
      </c>
      <c r="H510" s="29">
        <f>IF($A510="","",F510+G510)</f>
        <v/>
      </c>
      <c r="I510" s="14" t="n"/>
      <c r="J510" s="33" t="n"/>
      <c r="K510" s="16">
        <f>IF(OR($A510="",I510="Pagado"),"",MAX(0,TODAY()-E510))</f>
        <v/>
      </c>
      <c r="L510" s="16">
        <f>IF($A510="","",IF(I510="Pagado","Pagado",IF(E510&lt;TODAY(),"Atrasado",IF(E510&lt;=EOMONTH(TODAY(),0),"Este mes","Pendiente"))))</f>
        <v/>
      </c>
      <c r="M510" s="20">
        <f>IF(OR($A510="",I510="Pagado"),"",HYPERLINK("https://wa.me/"&amp;IF(INDEX('Préstamos'!$C$2:$C$101,MATCH($A510,'Préstamos'!$A$2:$A$101,0))="","","51"&amp;SUBSTITUTE(INDEX('Préstamos'!$C$2:$C$101,MATCH($A510,'Préstamos'!$A$2:$A$101,0))," ",""))&amp;"?text="&amp;SUBSTITUTE("Hola "&amp;B510&amp;", te recuerdo que tu cuota de S/ "&amp;H510&amp;IF(E510&lt;TODAY()," vencio el "," vence el ")&amp;TEXT(E510,"dd/mm")&amp;". Gracias!"," ","%20"),"WhatsApp"))</f>
        <v/>
      </c>
    </row>
    <row r="511">
      <c r="A511" s="14" t="n"/>
      <c r="B511" s="16">
        <f>IF($A511="","",INDEX('Préstamos'!$B$2:$B$101,MATCH($A511,'Préstamos'!$A$2:$A$101,0)))</f>
        <v/>
      </c>
      <c r="C511" s="14" t="n"/>
      <c r="D511" s="14" t="n"/>
      <c r="E511" s="33" t="n"/>
      <c r="F511" s="29">
        <f>IF($A511="","",IF(D511="Solo interés",0,IF(AND(D511&lt;&gt;"Solo interés",C511=INDEX('Préstamos'!$G$2:$G$101,MATCH($A511,'Préstamos'!$A$2:$A$101,0))),INDEX('Préstamos'!$D$2:$D$101,MATCH($A511,'Préstamos'!$A$2:$A$101,0))-INDEX('Préstamos'!$J$2:$J$101,MATCH($A511,'Préstamos'!$A$2:$A$101,0))*(INDEX('Préstamos'!$G$2:$G$101,MATCH($A511,'Préstamos'!$A$2:$A$101,0))-1),INDEX('Préstamos'!$J$2:$J$101,MATCH($A511,'Préstamos'!$A$2:$A$101,0)))))</f>
        <v/>
      </c>
      <c r="G511" s="29">
        <f>IF($A511="","",IF(AND(D511&lt;&gt;"Solo interés",C511=INDEX('Préstamos'!$G$2:$G$101,MATCH($A511,'Préstamos'!$A$2:$A$101,0))),INDEX('Préstamos'!$I$2:$I$101,MATCH($A511,'Préstamos'!$A$2:$A$101,0))-INDEX('Préstamos'!$K$2:$K$101,MATCH($A511,'Préstamos'!$A$2:$A$101,0))*(INDEX('Préstamos'!$G$2:$G$101,MATCH($A511,'Préstamos'!$A$2:$A$101,0))-1),INDEX('Préstamos'!$K$2:$K$101,MATCH($A511,'Préstamos'!$A$2:$A$101,0))))</f>
        <v/>
      </c>
      <c r="H511" s="29">
        <f>IF($A511="","",F511+G511)</f>
        <v/>
      </c>
      <c r="I511" s="14" t="n"/>
      <c r="J511" s="33" t="n"/>
      <c r="K511" s="16">
        <f>IF(OR($A511="",I511="Pagado"),"",MAX(0,TODAY()-E511))</f>
        <v/>
      </c>
      <c r="L511" s="16">
        <f>IF($A511="","",IF(I511="Pagado","Pagado",IF(E511&lt;TODAY(),"Atrasado",IF(E511&lt;=EOMONTH(TODAY(),0),"Este mes","Pendiente"))))</f>
        <v/>
      </c>
      <c r="M511" s="20">
        <f>IF(OR($A511="",I511="Pagado"),"",HYPERLINK("https://wa.me/"&amp;IF(INDEX('Préstamos'!$C$2:$C$101,MATCH($A511,'Préstamos'!$A$2:$A$101,0))="","","51"&amp;SUBSTITUTE(INDEX('Préstamos'!$C$2:$C$101,MATCH($A511,'Préstamos'!$A$2:$A$101,0))," ",""))&amp;"?text="&amp;SUBSTITUTE("Hola "&amp;B511&amp;", te recuerdo que tu cuota de S/ "&amp;H511&amp;IF(E511&lt;TODAY()," vencio el "," vence el ")&amp;TEXT(E511,"dd/mm")&amp;". Gracias!"," ","%20"),"WhatsApp"))</f>
        <v/>
      </c>
    </row>
    <row r="512">
      <c r="A512" s="14" t="n"/>
      <c r="B512" s="16">
        <f>IF($A512="","",INDEX('Préstamos'!$B$2:$B$101,MATCH($A512,'Préstamos'!$A$2:$A$101,0)))</f>
        <v/>
      </c>
      <c r="C512" s="14" t="n"/>
      <c r="D512" s="14" t="n"/>
      <c r="E512" s="33" t="n"/>
      <c r="F512" s="29">
        <f>IF($A512="","",IF(D512="Solo interés",0,IF(AND(D512&lt;&gt;"Solo interés",C512=INDEX('Préstamos'!$G$2:$G$101,MATCH($A512,'Préstamos'!$A$2:$A$101,0))),INDEX('Préstamos'!$D$2:$D$101,MATCH($A512,'Préstamos'!$A$2:$A$101,0))-INDEX('Préstamos'!$J$2:$J$101,MATCH($A512,'Préstamos'!$A$2:$A$101,0))*(INDEX('Préstamos'!$G$2:$G$101,MATCH($A512,'Préstamos'!$A$2:$A$101,0))-1),INDEX('Préstamos'!$J$2:$J$101,MATCH($A512,'Préstamos'!$A$2:$A$101,0)))))</f>
        <v/>
      </c>
      <c r="G512" s="29">
        <f>IF($A512="","",IF(AND(D512&lt;&gt;"Solo interés",C512=INDEX('Préstamos'!$G$2:$G$101,MATCH($A512,'Préstamos'!$A$2:$A$101,0))),INDEX('Préstamos'!$I$2:$I$101,MATCH($A512,'Préstamos'!$A$2:$A$101,0))-INDEX('Préstamos'!$K$2:$K$101,MATCH($A512,'Préstamos'!$A$2:$A$101,0))*(INDEX('Préstamos'!$G$2:$G$101,MATCH($A512,'Préstamos'!$A$2:$A$101,0))-1),INDEX('Préstamos'!$K$2:$K$101,MATCH($A512,'Préstamos'!$A$2:$A$101,0))))</f>
        <v/>
      </c>
      <c r="H512" s="29">
        <f>IF($A512="","",F512+G512)</f>
        <v/>
      </c>
      <c r="I512" s="14" t="n"/>
      <c r="J512" s="33" t="n"/>
      <c r="K512" s="16">
        <f>IF(OR($A512="",I512="Pagado"),"",MAX(0,TODAY()-E512))</f>
        <v/>
      </c>
      <c r="L512" s="16">
        <f>IF($A512="","",IF(I512="Pagado","Pagado",IF(E512&lt;TODAY(),"Atrasado",IF(E512&lt;=EOMONTH(TODAY(),0),"Este mes","Pendiente"))))</f>
        <v/>
      </c>
      <c r="M512" s="20">
        <f>IF(OR($A512="",I512="Pagado"),"",HYPERLINK("https://wa.me/"&amp;IF(INDEX('Préstamos'!$C$2:$C$101,MATCH($A512,'Préstamos'!$A$2:$A$101,0))="","","51"&amp;SUBSTITUTE(INDEX('Préstamos'!$C$2:$C$101,MATCH($A512,'Préstamos'!$A$2:$A$101,0))," ",""))&amp;"?text="&amp;SUBSTITUTE("Hola "&amp;B512&amp;", te recuerdo que tu cuota de S/ "&amp;H512&amp;IF(E512&lt;TODAY()," vencio el "," vence el ")&amp;TEXT(E512,"dd/mm")&amp;". Gracias!"," ","%20"),"WhatsApp"))</f>
        <v/>
      </c>
    </row>
    <row r="513">
      <c r="A513" s="14" t="n"/>
      <c r="B513" s="16">
        <f>IF($A513="","",INDEX('Préstamos'!$B$2:$B$101,MATCH($A513,'Préstamos'!$A$2:$A$101,0)))</f>
        <v/>
      </c>
      <c r="C513" s="14" t="n"/>
      <c r="D513" s="14" t="n"/>
      <c r="E513" s="33" t="n"/>
      <c r="F513" s="29">
        <f>IF($A513="","",IF(D513="Solo interés",0,IF(AND(D513&lt;&gt;"Solo interés",C513=INDEX('Préstamos'!$G$2:$G$101,MATCH($A513,'Préstamos'!$A$2:$A$101,0))),INDEX('Préstamos'!$D$2:$D$101,MATCH($A513,'Préstamos'!$A$2:$A$101,0))-INDEX('Préstamos'!$J$2:$J$101,MATCH($A513,'Préstamos'!$A$2:$A$101,0))*(INDEX('Préstamos'!$G$2:$G$101,MATCH($A513,'Préstamos'!$A$2:$A$101,0))-1),INDEX('Préstamos'!$J$2:$J$101,MATCH($A513,'Préstamos'!$A$2:$A$101,0)))))</f>
        <v/>
      </c>
      <c r="G513" s="29">
        <f>IF($A513="","",IF(AND(D513&lt;&gt;"Solo interés",C513=INDEX('Préstamos'!$G$2:$G$101,MATCH($A513,'Préstamos'!$A$2:$A$101,0))),INDEX('Préstamos'!$I$2:$I$101,MATCH($A513,'Préstamos'!$A$2:$A$101,0))-INDEX('Préstamos'!$K$2:$K$101,MATCH($A513,'Préstamos'!$A$2:$A$101,0))*(INDEX('Préstamos'!$G$2:$G$101,MATCH($A513,'Préstamos'!$A$2:$A$101,0))-1),INDEX('Préstamos'!$K$2:$K$101,MATCH($A513,'Préstamos'!$A$2:$A$101,0))))</f>
        <v/>
      </c>
      <c r="H513" s="29">
        <f>IF($A513="","",F513+G513)</f>
        <v/>
      </c>
      <c r="I513" s="14" t="n"/>
      <c r="J513" s="33" t="n"/>
      <c r="K513" s="16">
        <f>IF(OR($A513="",I513="Pagado"),"",MAX(0,TODAY()-E513))</f>
        <v/>
      </c>
      <c r="L513" s="16">
        <f>IF($A513="","",IF(I513="Pagado","Pagado",IF(E513&lt;TODAY(),"Atrasado",IF(E513&lt;=EOMONTH(TODAY(),0),"Este mes","Pendiente"))))</f>
        <v/>
      </c>
      <c r="M513" s="20">
        <f>IF(OR($A513="",I513="Pagado"),"",HYPERLINK("https://wa.me/"&amp;IF(INDEX('Préstamos'!$C$2:$C$101,MATCH($A513,'Préstamos'!$A$2:$A$101,0))="","","51"&amp;SUBSTITUTE(INDEX('Préstamos'!$C$2:$C$101,MATCH($A513,'Préstamos'!$A$2:$A$101,0))," ",""))&amp;"?text="&amp;SUBSTITUTE("Hola "&amp;B513&amp;", te recuerdo que tu cuota de S/ "&amp;H513&amp;IF(E513&lt;TODAY()," vencio el "," vence el ")&amp;TEXT(E513,"dd/mm")&amp;". Gracias!"," ","%20"),"WhatsApp"))</f>
        <v/>
      </c>
    </row>
    <row r="514">
      <c r="A514" s="14" t="n"/>
      <c r="B514" s="16">
        <f>IF($A514="","",INDEX('Préstamos'!$B$2:$B$101,MATCH($A514,'Préstamos'!$A$2:$A$101,0)))</f>
        <v/>
      </c>
      <c r="C514" s="14" t="n"/>
      <c r="D514" s="14" t="n"/>
      <c r="E514" s="33" t="n"/>
      <c r="F514" s="29">
        <f>IF($A514="","",IF(D514="Solo interés",0,IF(AND(D514&lt;&gt;"Solo interés",C514=INDEX('Préstamos'!$G$2:$G$101,MATCH($A514,'Préstamos'!$A$2:$A$101,0))),INDEX('Préstamos'!$D$2:$D$101,MATCH($A514,'Préstamos'!$A$2:$A$101,0))-INDEX('Préstamos'!$J$2:$J$101,MATCH($A514,'Préstamos'!$A$2:$A$101,0))*(INDEX('Préstamos'!$G$2:$G$101,MATCH($A514,'Préstamos'!$A$2:$A$101,0))-1),INDEX('Préstamos'!$J$2:$J$101,MATCH($A514,'Préstamos'!$A$2:$A$101,0)))))</f>
        <v/>
      </c>
      <c r="G514" s="29">
        <f>IF($A514="","",IF(AND(D514&lt;&gt;"Solo interés",C514=INDEX('Préstamos'!$G$2:$G$101,MATCH($A514,'Préstamos'!$A$2:$A$101,0))),INDEX('Préstamos'!$I$2:$I$101,MATCH($A514,'Préstamos'!$A$2:$A$101,0))-INDEX('Préstamos'!$K$2:$K$101,MATCH($A514,'Préstamos'!$A$2:$A$101,0))*(INDEX('Préstamos'!$G$2:$G$101,MATCH($A514,'Préstamos'!$A$2:$A$101,0))-1),INDEX('Préstamos'!$K$2:$K$101,MATCH($A514,'Préstamos'!$A$2:$A$101,0))))</f>
        <v/>
      </c>
      <c r="H514" s="29">
        <f>IF($A514="","",F514+G514)</f>
        <v/>
      </c>
      <c r="I514" s="14" t="n"/>
      <c r="J514" s="33" t="n"/>
      <c r="K514" s="16">
        <f>IF(OR($A514="",I514="Pagado"),"",MAX(0,TODAY()-E514))</f>
        <v/>
      </c>
      <c r="L514" s="16">
        <f>IF($A514="","",IF(I514="Pagado","Pagado",IF(E514&lt;TODAY(),"Atrasado",IF(E514&lt;=EOMONTH(TODAY(),0),"Este mes","Pendiente"))))</f>
        <v/>
      </c>
      <c r="M514" s="20">
        <f>IF(OR($A514="",I514="Pagado"),"",HYPERLINK("https://wa.me/"&amp;IF(INDEX('Préstamos'!$C$2:$C$101,MATCH($A514,'Préstamos'!$A$2:$A$101,0))="","","51"&amp;SUBSTITUTE(INDEX('Préstamos'!$C$2:$C$101,MATCH($A514,'Préstamos'!$A$2:$A$101,0))," ",""))&amp;"?text="&amp;SUBSTITUTE("Hola "&amp;B514&amp;", te recuerdo que tu cuota de S/ "&amp;H514&amp;IF(E514&lt;TODAY()," vencio el "," vence el ")&amp;TEXT(E514,"dd/mm")&amp;". Gracias!"," ","%20"),"WhatsApp"))</f>
        <v/>
      </c>
    </row>
    <row r="515">
      <c r="A515" s="14" t="n"/>
      <c r="B515" s="16">
        <f>IF($A515="","",INDEX('Préstamos'!$B$2:$B$101,MATCH($A515,'Préstamos'!$A$2:$A$101,0)))</f>
        <v/>
      </c>
      <c r="C515" s="14" t="n"/>
      <c r="D515" s="14" t="n"/>
      <c r="E515" s="33" t="n"/>
      <c r="F515" s="29">
        <f>IF($A515="","",IF(D515="Solo interés",0,IF(AND(D515&lt;&gt;"Solo interés",C515=INDEX('Préstamos'!$G$2:$G$101,MATCH($A515,'Préstamos'!$A$2:$A$101,0))),INDEX('Préstamos'!$D$2:$D$101,MATCH($A515,'Préstamos'!$A$2:$A$101,0))-INDEX('Préstamos'!$J$2:$J$101,MATCH($A515,'Préstamos'!$A$2:$A$101,0))*(INDEX('Préstamos'!$G$2:$G$101,MATCH($A515,'Préstamos'!$A$2:$A$101,0))-1),INDEX('Préstamos'!$J$2:$J$101,MATCH($A515,'Préstamos'!$A$2:$A$101,0)))))</f>
        <v/>
      </c>
      <c r="G515" s="29">
        <f>IF($A515="","",IF(AND(D515&lt;&gt;"Solo interés",C515=INDEX('Préstamos'!$G$2:$G$101,MATCH($A515,'Préstamos'!$A$2:$A$101,0))),INDEX('Préstamos'!$I$2:$I$101,MATCH($A515,'Préstamos'!$A$2:$A$101,0))-INDEX('Préstamos'!$K$2:$K$101,MATCH($A515,'Préstamos'!$A$2:$A$101,0))*(INDEX('Préstamos'!$G$2:$G$101,MATCH($A515,'Préstamos'!$A$2:$A$101,0))-1),INDEX('Préstamos'!$K$2:$K$101,MATCH($A515,'Préstamos'!$A$2:$A$101,0))))</f>
        <v/>
      </c>
      <c r="H515" s="29">
        <f>IF($A515="","",F515+G515)</f>
        <v/>
      </c>
      <c r="I515" s="14" t="n"/>
      <c r="J515" s="33" t="n"/>
      <c r="K515" s="16">
        <f>IF(OR($A515="",I515="Pagado"),"",MAX(0,TODAY()-E515))</f>
        <v/>
      </c>
      <c r="L515" s="16">
        <f>IF($A515="","",IF(I515="Pagado","Pagado",IF(E515&lt;TODAY(),"Atrasado",IF(E515&lt;=EOMONTH(TODAY(),0),"Este mes","Pendiente"))))</f>
        <v/>
      </c>
      <c r="M515" s="20">
        <f>IF(OR($A515="",I515="Pagado"),"",HYPERLINK("https://wa.me/"&amp;IF(INDEX('Préstamos'!$C$2:$C$101,MATCH($A515,'Préstamos'!$A$2:$A$101,0))="","","51"&amp;SUBSTITUTE(INDEX('Préstamos'!$C$2:$C$101,MATCH($A515,'Préstamos'!$A$2:$A$101,0))," ",""))&amp;"?text="&amp;SUBSTITUTE("Hola "&amp;B515&amp;", te recuerdo que tu cuota de S/ "&amp;H515&amp;IF(E515&lt;TODAY()," vencio el "," vence el ")&amp;TEXT(E515,"dd/mm")&amp;". Gracias!"," ","%20"),"WhatsApp"))</f>
        <v/>
      </c>
    </row>
    <row r="516">
      <c r="A516" s="14" t="n"/>
      <c r="B516" s="16">
        <f>IF($A516="","",INDEX('Préstamos'!$B$2:$B$101,MATCH($A516,'Préstamos'!$A$2:$A$101,0)))</f>
        <v/>
      </c>
      <c r="C516" s="14" t="n"/>
      <c r="D516" s="14" t="n"/>
      <c r="E516" s="33" t="n"/>
      <c r="F516" s="29">
        <f>IF($A516="","",IF(D516="Solo interés",0,IF(AND(D516&lt;&gt;"Solo interés",C516=INDEX('Préstamos'!$G$2:$G$101,MATCH($A516,'Préstamos'!$A$2:$A$101,0))),INDEX('Préstamos'!$D$2:$D$101,MATCH($A516,'Préstamos'!$A$2:$A$101,0))-INDEX('Préstamos'!$J$2:$J$101,MATCH($A516,'Préstamos'!$A$2:$A$101,0))*(INDEX('Préstamos'!$G$2:$G$101,MATCH($A516,'Préstamos'!$A$2:$A$101,0))-1),INDEX('Préstamos'!$J$2:$J$101,MATCH($A516,'Préstamos'!$A$2:$A$101,0)))))</f>
        <v/>
      </c>
      <c r="G516" s="29">
        <f>IF($A516="","",IF(AND(D516&lt;&gt;"Solo interés",C516=INDEX('Préstamos'!$G$2:$G$101,MATCH($A516,'Préstamos'!$A$2:$A$101,0))),INDEX('Préstamos'!$I$2:$I$101,MATCH($A516,'Préstamos'!$A$2:$A$101,0))-INDEX('Préstamos'!$K$2:$K$101,MATCH($A516,'Préstamos'!$A$2:$A$101,0))*(INDEX('Préstamos'!$G$2:$G$101,MATCH($A516,'Préstamos'!$A$2:$A$101,0))-1),INDEX('Préstamos'!$K$2:$K$101,MATCH($A516,'Préstamos'!$A$2:$A$101,0))))</f>
        <v/>
      </c>
      <c r="H516" s="29">
        <f>IF($A516="","",F516+G516)</f>
        <v/>
      </c>
      <c r="I516" s="14" t="n"/>
      <c r="J516" s="33" t="n"/>
      <c r="K516" s="16">
        <f>IF(OR($A516="",I516="Pagado"),"",MAX(0,TODAY()-E516))</f>
        <v/>
      </c>
      <c r="L516" s="16">
        <f>IF($A516="","",IF(I516="Pagado","Pagado",IF(E516&lt;TODAY(),"Atrasado",IF(E516&lt;=EOMONTH(TODAY(),0),"Este mes","Pendiente"))))</f>
        <v/>
      </c>
      <c r="M516" s="20">
        <f>IF(OR($A516="",I516="Pagado"),"",HYPERLINK("https://wa.me/"&amp;IF(INDEX('Préstamos'!$C$2:$C$101,MATCH($A516,'Préstamos'!$A$2:$A$101,0))="","","51"&amp;SUBSTITUTE(INDEX('Préstamos'!$C$2:$C$101,MATCH($A516,'Préstamos'!$A$2:$A$101,0))," ",""))&amp;"?text="&amp;SUBSTITUTE("Hola "&amp;B516&amp;", te recuerdo que tu cuota de S/ "&amp;H516&amp;IF(E516&lt;TODAY()," vencio el "," vence el ")&amp;TEXT(E516,"dd/mm")&amp;". Gracias!"," ","%20"),"WhatsApp"))</f>
        <v/>
      </c>
    </row>
    <row r="517">
      <c r="A517" s="14" t="n"/>
      <c r="B517" s="16">
        <f>IF($A517="","",INDEX('Préstamos'!$B$2:$B$101,MATCH($A517,'Préstamos'!$A$2:$A$101,0)))</f>
        <v/>
      </c>
      <c r="C517" s="14" t="n"/>
      <c r="D517" s="14" t="n"/>
      <c r="E517" s="33" t="n"/>
      <c r="F517" s="29">
        <f>IF($A517="","",IF(D517="Solo interés",0,IF(AND(D517&lt;&gt;"Solo interés",C517=INDEX('Préstamos'!$G$2:$G$101,MATCH($A517,'Préstamos'!$A$2:$A$101,0))),INDEX('Préstamos'!$D$2:$D$101,MATCH($A517,'Préstamos'!$A$2:$A$101,0))-INDEX('Préstamos'!$J$2:$J$101,MATCH($A517,'Préstamos'!$A$2:$A$101,0))*(INDEX('Préstamos'!$G$2:$G$101,MATCH($A517,'Préstamos'!$A$2:$A$101,0))-1),INDEX('Préstamos'!$J$2:$J$101,MATCH($A517,'Préstamos'!$A$2:$A$101,0)))))</f>
        <v/>
      </c>
      <c r="G517" s="29">
        <f>IF($A517="","",IF(AND(D517&lt;&gt;"Solo interés",C517=INDEX('Préstamos'!$G$2:$G$101,MATCH($A517,'Préstamos'!$A$2:$A$101,0))),INDEX('Préstamos'!$I$2:$I$101,MATCH($A517,'Préstamos'!$A$2:$A$101,0))-INDEX('Préstamos'!$K$2:$K$101,MATCH($A517,'Préstamos'!$A$2:$A$101,0))*(INDEX('Préstamos'!$G$2:$G$101,MATCH($A517,'Préstamos'!$A$2:$A$101,0))-1),INDEX('Préstamos'!$K$2:$K$101,MATCH($A517,'Préstamos'!$A$2:$A$101,0))))</f>
        <v/>
      </c>
      <c r="H517" s="29">
        <f>IF($A517="","",F517+G517)</f>
        <v/>
      </c>
      <c r="I517" s="14" t="n"/>
      <c r="J517" s="33" t="n"/>
      <c r="K517" s="16">
        <f>IF(OR($A517="",I517="Pagado"),"",MAX(0,TODAY()-E517))</f>
        <v/>
      </c>
      <c r="L517" s="16">
        <f>IF($A517="","",IF(I517="Pagado","Pagado",IF(E517&lt;TODAY(),"Atrasado",IF(E517&lt;=EOMONTH(TODAY(),0),"Este mes","Pendiente"))))</f>
        <v/>
      </c>
      <c r="M517" s="20">
        <f>IF(OR($A517="",I517="Pagado"),"",HYPERLINK("https://wa.me/"&amp;IF(INDEX('Préstamos'!$C$2:$C$101,MATCH($A517,'Préstamos'!$A$2:$A$101,0))="","","51"&amp;SUBSTITUTE(INDEX('Préstamos'!$C$2:$C$101,MATCH($A517,'Préstamos'!$A$2:$A$101,0))," ",""))&amp;"?text="&amp;SUBSTITUTE("Hola "&amp;B517&amp;", te recuerdo que tu cuota de S/ "&amp;H517&amp;IF(E517&lt;TODAY()," vencio el "," vence el ")&amp;TEXT(E517,"dd/mm")&amp;". Gracias!"," ","%20"),"WhatsApp"))</f>
        <v/>
      </c>
    </row>
    <row r="518">
      <c r="A518" s="14" t="n"/>
      <c r="B518" s="16">
        <f>IF($A518="","",INDEX('Préstamos'!$B$2:$B$101,MATCH($A518,'Préstamos'!$A$2:$A$101,0)))</f>
        <v/>
      </c>
      <c r="C518" s="14" t="n"/>
      <c r="D518" s="14" t="n"/>
      <c r="E518" s="33" t="n"/>
      <c r="F518" s="29">
        <f>IF($A518="","",IF(D518="Solo interés",0,IF(AND(D518&lt;&gt;"Solo interés",C518=INDEX('Préstamos'!$G$2:$G$101,MATCH($A518,'Préstamos'!$A$2:$A$101,0))),INDEX('Préstamos'!$D$2:$D$101,MATCH($A518,'Préstamos'!$A$2:$A$101,0))-INDEX('Préstamos'!$J$2:$J$101,MATCH($A518,'Préstamos'!$A$2:$A$101,0))*(INDEX('Préstamos'!$G$2:$G$101,MATCH($A518,'Préstamos'!$A$2:$A$101,0))-1),INDEX('Préstamos'!$J$2:$J$101,MATCH($A518,'Préstamos'!$A$2:$A$101,0)))))</f>
        <v/>
      </c>
      <c r="G518" s="29">
        <f>IF($A518="","",IF(AND(D518&lt;&gt;"Solo interés",C518=INDEX('Préstamos'!$G$2:$G$101,MATCH($A518,'Préstamos'!$A$2:$A$101,0))),INDEX('Préstamos'!$I$2:$I$101,MATCH($A518,'Préstamos'!$A$2:$A$101,0))-INDEX('Préstamos'!$K$2:$K$101,MATCH($A518,'Préstamos'!$A$2:$A$101,0))*(INDEX('Préstamos'!$G$2:$G$101,MATCH($A518,'Préstamos'!$A$2:$A$101,0))-1),INDEX('Préstamos'!$K$2:$K$101,MATCH($A518,'Préstamos'!$A$2:$A$101,0))))</f>
        <v/>
      </c>
      <c r="H518" s="29">
        <f>IF($A518="","",F518+G518)</f>
        <v/>
      </c>
      <c r="I518" s="14" t="n"/>
      <c r="J518" s="33" t="n"/>
      <c r="K518" s="16">
        <f>IF(OR($A518="",I518="Pagado"),"",MAX(0,TODAY()-E518))</f>
        <v/>
      </c>
      <c r="L518" s="16">
        <f>IF($A518="","",IF(I518="Pagado","Pagado",IF(E518&lt;TODAY(),"Atrasado",IF(E518&lt;=EOMONTH(TODAY(),0),"Este mes","Pendiente"))))</f>
        <v/>
      </c>
      <c r="M518" s="20">
        <f>IF(OR($A518="",I518="Pagado"),"",HYPERLINK("https://wa.me/"&amp;IF(INDEX('Préstamos'!$C$2:$C$101,MATCH($A518,'Préstamos'!$A$2:$A$101,0))="","","51"&amp;SUBSTITUTE(INDEX('Préstamos'!$C$2:$C$101,MATCH($A518,'Préstamos'!$A$2:$A$101,0))," ",""))&amp;"?text="&amp;SUBSTITUTE("Hola "&amp;B518&amp;", te recuerdo que tu cuota de S/ "&amp;H518&amp;IF(E518&lt;TODAY()," vencio el "," vence el ")&amp;TEXT(E518,"dd/mm")&amp;". Gracias!"," ","%20"),"WhatsApp"))</f>
        <v/>
      </c>
    </row>
    <row r="519">
      <c r="A519" s="14" t="n"/>
      <c r="B519" s="16">
        <f>IF($A519="","",INDEX('Préstamos'!$B$2:$B$101,MATCH($A519,'Préstamos'!$A$2:$A$101,0)))</f>
        <v/>
      </c>
      <c r="C519" s="14" t="n"/>
      <c r="D519" s="14" t="n"/>
      <c r="E519" s="33" t="n"/>
      <c r="F519" s="29">
        <f>IF($A519="","",IF(D519="Solo interés",0,IF(AND(D519&lt;&gt;"Solo interés",C519=INDEX('Préstamos'!$G$2:$G$101,MATCH($A519,'Préstamos'!$A$2:$A$101,0))),INDEX('Préstamos'!$D$2:$D$101,MATCH($A519,'Préstamos'!$A$2:$A$101,0))-INDEX('Préstamos'!$J$2:$J$101,MATCH($A519,'Préstamos'!$A$2:$A$101,0))*(INDEX('Préstamos'!$G$2:$G$101,MATCH($A519,'Préstamos'!$A$2:$A$101,0))-1),INDEX('Préstamos'!$J$2:$J$101,MATCH($A519,'Préstamos'!$A$2:$A$101,0)))))</f>
        <v/>
      </c>
      <c r="G519" s="29">
        <f>IF($A519="","",IF(AND(D519&lt;&gt;"Solo interés",C519=INDEX('Préstamos'!$G$2:$G$101,MATCH($A519,'Préstamos'!$A$2:$A$101,0))),INDEX('Préstamos'!$I$2:$I$101,MATCH($A519,'Préstamos'!$A$2:$A$101,0))-INDEX('Préstamos'!$K$2:$K$101,MATCH($A519,'Préstamos'!$A$2:$A$101,0))*(INDEX('Préstamos'!$G$2:$G$101,MATCH($A519,'Préstamos'!$A$2:$A$101,0))-1),INDEX('Préstamos'!$K$2:$K$101,MATCH($A519,'Préstamos'!$A$2:$A$101,0))))</f>
        <v/>
      </c>
      <c r="H519" s="29">
        <f>IF($A519="","",F519+G519)</f>
        <v/>
      </c>
      <c r="I519" s="14" t="n"/>
      <c r="J519" s="33" t="n"/>
      <c r="K519" s="16">
        <f>IF(OR($A519="",I519="Pagado"),"",MAX(0,TODAY()-E519))</f>
        <v/>
      </c>
      <c r="L519" s="16">
        <f>IF($A519="","",IF(I519="Pagado","Pagado",IF(E519&lt;TODAY(),"Atrasado",IF(E519&lt;=EOMONTH(TODAY(),0),"Este mes","Pendiente"))))</f>
        <v/>
      </c>
      <c r="M519" s="20">
        <f>IF(OR($A519="",I519="Pagado"),"",HYPERLINK("https://wa.me/"&amp;IF(INDEX('Préstamos'!$C$2:$C$101,MATCH($A519,'Préstamos'!$A$2:$A$101,0))="","","51"&amp;SUBSTITUTE(INDEX('Préstamos'!$C$2:$C$101,MATCH($A519,'Préstamos'!$A$2:$A$101,0))," ",""))&amp;"?text="&amp;SUBSTITUTE("Hola "&amp;B519&amp;", te recuerdo que tu cuota de S/ "&amp;H519&amp;IF(E519&lt;TODAY()," vencio el "," vence el ")&amp;TEXT(E519,"dd/mm")&amp;". Gracias!"," ","%20"),"WhatsApp"))</f>
        <v/>
      </c>
    </row>
    <row r="520">
      <c r="A520" s="14" t="n"/>
      <c r="B520" s="16">
        <f>IF($A520="","",INDEX('Préstamos'!$B$2:$B$101,MATCH($A520,'Préstamos'!$A$2:$A$101,0)))</f>
        <v/>
      </c>
      <c r="C520" s="14" t="n"/>
      <c r="D520" s="14" t="n"/>
      <c r="E520" s="33" t="n"/>
      <c r="F520" s="29">
        <f>IF($A520="","",IF(D520="Solo interés",0,IF(AND(D520&lt;&gt;"Solo interés",C520=INDEX('Préstamos'!$G$2:$G$101,MATCH($A520,'Préstamos'!$A$2:$A$101,0))),INDEX('Préstamos'!$D$2:$D$101,MATCH($A520,'Préstamos'!$A$2:$A$101,0))-INDEX('Préstamos'!$J$2:$J$101,MATCH($A520,'Préstamos'!$A$2:$A$101,0))*(INDEX('Préstamos'!$G$2:$G$101,MATCH($A520,'Préstamos'!$A$2:$A$101,0))-1),INDEX('Préstamos'!$J$2:$J$101,MATCH($A520,'Préstamos'!$A$2:$A$101,0)))))</f>
        <v/>
      </c>
      <c r="G520" s="29">
        <f>IF($A520="","",IF(AND(D520&lt;&gt;"Solo interés",C520=INDEX('Préstamos'!$G$2:$G$101,MATCH($A520,'Préstamos'!$A$2:$A$101,0))),INDEX('Préstamos'!$I$2:$I$101,MATCH($A520,'Préstamos'!$A$2:$A$101,0))-INDEX('Préstamos'!$K$2:$K$101,MATCH($A520,'Préstamos'!$A$2:$A$101,0))*(INDEX('Préstamos'!$G$2:$G$101,MATCH($A520,'Préstamos'!$A$2:$A$101,0))-1),INDEX('Préstamos'!$K$2:$K$101,MATCH($A520,'Préstamos'!$A$2:$A$101,0))))</f>
        <v/>
      </c>
      <c r="H520" s="29">
        <f>IF($A520="","",F520+G520)</f>
        <v/>
      </c>
      <c r="I520" s="14" t="n"/>
      <c r="J520" s="33" t="n"/>
      <c r="K520" s="16">
        <f>IF(OR($A520="",I520="Pagado"),"",MAX(0,TODAY()-E520))</f>
        <v/>
      </c>
      <c r="L520" s="16">
        <f>IF($A520="","",IF(I520="Pagado","Pagado",IF(E520&lt;TODAY(),"Atrasado",IF(E520&lt;=EOMONTH(TODAY(),0),"Este mes","Pendiente"))))</f>
        <v/>
      </c>
      <c r="M520" s="20">
        <f>IF(OR($A520="",I520="Pagado"),"",HYPERLINK("https://wa.me/"&amp;IF(INDEX('Préstamos'!$C$2:$C$101,MATCH($A520,'Préstamos'!$A$2:$A$101,0))="","","51"&amp;SUBSTITUTE(INDEX('Préstamos'!$C$2:$C$101,MATCH($A520,'Préstamos'!$A$2:$A$101,0))," ",""))&amp;"?text="&amp;SUBSTITUTE("Hola "&amp;B520&amp;", te recuerdo que tu cuota de S/ "&amp;H520&amp;IF(E520&lt;TODAY()," vencio el "," vence el ")&amp;TEXT(E520,"dd/mm")&amp;". Gracias!"," ","%20"),"WhatsApp"))</f>
        <v/>
      </c>
    </row>
    <row r="521">
      <c r="A521" s="14" t="n"/>
      <c r="B521" s="16">
        <f>IF($A521="","",INDEX('Préstamos'!$B$2:$B$101,MATCH($A521,'Préstamos'!$A$2:$A$101,0)))</f>
        <v/>
      </c>
      <c r="C521" s="14" t="n"/>
      <c r="D521" s="14" t="n"/>
      <c r="E521" s="33" t="n"/>
      <c r="F521" s="29">
        <f>IF($A521="","",IF(D521="Solo interés",0,IF(AND(D521&lt;&gt;"Solo interés",C521=INDEX('Préstamos'!$G$2:$G$101,MATCH($A521,'Préstamos'!$A$2:$A$101,0))),INDEX('Préstamos'!$D$2:$D$101,MATCH($A521,'Préstamos'!$A$2:$A$101,0))-INDEX('Préstamos'!$J$2:$J$101,MATCH($A521,'Préstamos'!$A$2:$A$101,0))*(INDEX('Préstamos'!$G$2:$G$101,MATCH($A521,'Préstamos'!$A$2:$A$101,0))-1),INDEX('Préstamos'!$J$2:$J$101,MATCH($A521,'Préstamos'!$A$2:$A$101,0)))))</f>
        <v/>
      </c>
      <c r="G521" s="29">
        <f>IF($A521="","",IF(AND(D521&lt;&gt;"Solo interés",C521=INDEX('Préstamos'!$G$2:$G$101,MATCH($A521,'Préstamos'!$A$2:$A$101,0))),INDEX('Préstamos'!$I$2:$I$101,MATCH($A521,'Préstamos'!$A$2:$A$101,0))-INDEX('Préstamos'!$K$2:$K$101,MATCH($A521,'Préstamos'!$A$2:$A$101,0))*(INDEX('Préstamos'!$G$2:$G$101,MATCH($A521,'Préstamos'!$A$2:$A$101,0))-1),INDEX('Préstamos'!$K$2:$K$101,MATCH($A521,'Préstamos'!$A$2:$A$101,0))))</f>
        <v/>
      </c>
      <c r="H521" s="29">
        <f>IF($A521="","",F521+G521)</f>
        <v/>
      </c>
      <c r="I521" s="14" t="n"/>
      <c r="J521" s="33" t="n"/>
      <c r="K521" s="16">
        <f>IF(OR($A521="",I521="Pagado"),"",MAX(0,TODAY()-E521))</f>
        <v/>
      </c>
      <c r="L521" s="16">
        <f>IF($A521="","",IF(I521="Pagado","Pagado",IF(E521&lt;TODAY(),"Atrasado",IF(E521&lt;=EOMONTH(TODAY(),0),"Este mes","Pendiente"))))</f>
        <v/>
      </c>
      <c r="M521" s="20">
        <f>IF(OR($A521="",I521="Pagado"),"",HYPERLINK("https://wa.me/"&amp;IF(INDEX('Préstamos'!$C$2:$C$101,MATCH($A521,'Préstamos'!$A$2:$A$101,0))="","","51"&amp;SUBSTITUTE(INDEX('Préstamos'!$C$2:$C$101,MATCH($A521,'Préstamos'!$A$2:$A$101,0))," ",""))&amp;"?text="&amp;SUBSTITUTE("Hola "&amp;B521&amp;", te recuerdo que tu cuota de S/ "&amp;H521&amp;IF(E521&lt;TODAY()," vencio el "," vence el ")&amp;TEXT(E521,"dd/mm")&amp;". Gracias!"," ","%20"),"WhatsApp"))</f>
        <v/>
      </c>
    </row>
    <row r="522">
      <c r="A522" s="14" t="n"/>
      <c r="B522" s="16">
        <f>IF($A522="","",INDEX('Préstamos'!$B$2:$B$101,MATCH($A522,'Préstamos'!$A$2:$A$101,0)))</f>
        <v/>
      </c>
      <c r="C522" s="14" t="n"/>
      <c r="D522" s="14" t="n"/>
      <c r="E522" s="33" t="n"/>
      <c r="F522" s="29">
        <f>IF($A522="","",IF(D522="Solo interés",0,IF(AND(D522&lt;&gt;"Solo interés",C522=INDEX('Préstamos'!$G$2:$G$101,MATCH($A522,'Préstamos'!$A$2:$A$101,0))),INDEX('Préstamos'!$D$2:$D$101,MATCH($A522,'Préstamos'!$A$2:$A$101,0))-INDEX('Préstamos'!$J$2:$J$101,MATCH($A522,'Préstamos'!$A$2:$A$101,0))*(INDEX('Préstamos'!$G$2:$G$101,MATCH($A522,'Préstamos'!$A$2:$A$101,0))-1),INDEX('Préstamos'!$J$2:$J$101,MATCH($A522,'Préstamos'!$A$2:$A$101,0)))))</f>
        <v/>
      </c>
      <c r="G522" s="29">
        <f>IF($A522="","",IF(AND(D522&lt;&gt;"Solo interés",C522=INDEX('Préstamos'!$G$2:$G$101,MATCH($A522,'Préstamos'!$A$2:$A$101,0))),INDEX('Préstamos'!$I$2:$I$101,MATCH($A522,'Préstamos'!$A$2:$A$101,0))-INDEX('Préstamos'!$K$2:$K$101,MATCH($A522,'Préstamos'!$A$2:$A$101,0))*(INDEX('Préstamos'!$G$2:$G$101,MATCH($A522,'Préstamos'!$A$2:$A$101,0))-1),INDEX('Préstamos'!$K$2:$K$101,MATCH($A522,'Préstamos'!$A$2:$A$101,0))))</f>
        <v/>
      </c>
      <c r="H522" s="29">
        <f>IF($A522="","",F522+G522)</f>
        <v/>
      </c>
      <c r="I522" s="14" t="n"/>
      <c r="J522" s="33" t="n"/>
      <c r="K522" s="16">
        <f>IF(OR($A522="",I522="Pagado"),"",MAX(0,TODAY()-E522))</f>
        <v/>
      </c>
      <c r="L522" s="16">
        <f>IF($A522="","",IF(I522="Pagado","Pagado",IF(E522&lt;TODAY(),"Atrasado",IF(E522&lt;=EOMONTH(TODAY(),0),"Este mes","Pendiente"))))</f>
        <v/>
      </c>
      <c r="M522" s="20">
        <f>IF(OR($A522="",I522="Pagado"),"",HYPERLINK("https://wa.me/"&amp;IF(INDEX('Préstamos'!$C$2:$C$101,MATCH($A522,'Préstamos'!$A$2:$A$101,0))="","","51"&amp;SUBSTITUTE(INDEX('Préstamos'!$C$2:$C$101,MATCH($A522,'Préstamos'!$A$2:$A$101,0))," ",""))&amp;"?text="&amp;SUBSTITUTE("Hola "&amp;B522&amp;", te recuerdo que tu cuota de S/ "&amp;H522&amp;IF(E522&lt;TODAY()," vencio el "," vence el ")&amp;TEXT(E522,"dd/mm")&amp;". Gracias!"," ","%20"),"WhatsApp"))</f>
        <v/>
      </c>
    </row>
    <row r="523">
      <c r="A523" s="14" t="n"/>
      <c r="B523" s="16">
        <f>IF($A523="","",INDEX('Préstamos'!$B$2:$B$101,MATCH($A523,'Préstamos'!$A$2:$A$101,0)))</f>
        <v/>
      </c>
      <c r="C523" s="14" t="n"/>
      <c r="D523" s="14" t="n"/>
      <c r="E523" s="33" t="n"/>
      <c r="F523" s="29">
        <f>IF($A523="","",IF(D523="Solo interés",0,IF(AND(D523&lt;&gt;"Solo interés",C523=INDEX('Préstamos'!$G$2:$G$101,MATCH($A523,'Préstamos'!$A$2:$A$101,0))),INDEX('Préstamos'!$D$2:$D$101,MATCH($A523,'Préstamos'!$A$2:$A$101,0))-INDEX('Préstamos'!$J$2:$J$101,MATCH($A523,'Préstamos'!$A$2:$A$101,0))*(INDEX('Préstamos'!$G$2:$G$101,MATCH($A523,'Préstamos'!$A$2:$A$101,0))-1),INDEX('Préstamos'!$J$2:$J$101,MATCH($A523,'Préstamos'!$A$2:$A$101,0)))))</f>
        <v/>
      </c>
      <c r="G523" s="29">
        <f>IF($A523="","",IF(AND(D523&lt;&gt;"Solo interés",C523=INDEX('Préstamos'!$G$2:$G$101,MATCH($A523,'Préstamos'!$A$2:$A$101,0))),INDEX('Préstamos'!$I$2:$I$101,MATCH($A523,'Préstamos'!$A$2:$A$101,0))-INDEX('Préstamos'!$K$2:$K$101,MATCH($A523,'Préstamos'!$A$2:$A$101,0))*(INDEX('Préstamos'!$G$2:$G$101,MATCH($A523,'Préstamos'!$A$2:$A$101,0))-1),INDEX('Préstamos'!$K$2:$K$101,MATCH($A523,'Préstamos'!$A$2:$A$101,0))))</f>
        <v/>
      </c>
      <c r="H523" s="29">
        <f>IF($A523="","",F523+G523)</f>
        <v/>
      </c>
      <c r="I523" s="14" t="n"/>
      <c r="J523" s="33" t="n"/>
      <c r="K523" s="16">
        <f>IF(OR($A523="",I523="Pagado"),"",MAX(0,TODAY()-E523))</f>
        <v/>
      </c>
      <c r="L523" s="16">
        <f>IF($A523="","",IF(I523="Pagado","Pagado",IF(E523&lt;TODAY(),"Atrasado",IF(E523&lt;=EOMONTH(TODAY(),0),"Este mes","Pendiente"))))</f>
        <v/>
      </c>
      <c r="M523" s="20">
        <f>IF(OR($A523="",I523="Pagado"),"",HYPERLINK("https://wa.me/"&amp;IF(INDEX('Préstamos'!$C$2:$C$101,MATCH($A523,'Préstamos'!$A$2:$A$101,0))="","","51"&amp;SUBSTITUTE(INDEX('Préstamos'!$C$2:$C$101,MATCH($A523,'Préstamos'!$A$2:$A$101,0))," ",""))&amp;"?text="&amp;SUBSTITUTE("Hola "&amp;B523&amp;", te recuerdo que tu cuota de S/ "&amp;H523&amp;IF(E523&lt;TODAY()," vencio el "," vence el ")&amp;TEXT(E523,"dd/mm")&amp;". Gracias!"," ","%20"),"WhatsApp"))</f>
        <v/>
      </c>
    </row>
    <row r="524">
      <c r="A524" s="14" t="n"/>
      <c r="B524" s="16">
        <f>IF($A524="","",INDEX('Préstamos'!$B$2:$B$101,MATCH($A524,'Préstamos'!$A$2:$A$101,0)))</f>
        <v/>
      </c>
      <c r="C524" s="14" t="n"/>
      <c r="D524" s="14" t="n"/>
      <c r="E524" s="33" t="n"/>
      <c r="F524" s="29">
        <f>IF($A524="","",IF(D524="Solo interés",0,IF(AND(D524&lt;&gt;"Solo interés",C524=INDEX('Préstamos'!$G$2:$G$101,MATCH($A524,'Préstamos'!$A$2:$A$101,0))),INDEX('Préstamos'!$D$2:$D$101,MATCH($A524,'Préstamos'!$A$2:$A$101,0))-INDEX('Préstamos'!$J$2:$J$101,MATCH($A524,'Préstamos'!$A$2:$A$101,0))*(INDEX('Préstamos'!$G$2:$G$101,MATCH($A524,'Préstamos'!$A$2:$A$101,0))-1),INDEX('Préstamos'!$J$2:$J$101,MATCH($A524,'Préstamos'!$A$2:$A$101,0)))))</f>
        <v/>
      </c>
      <c r="G524" s="29">
        <f>IF($A524="","",IF(AND(D524&lt;&gt;"Solo interés",C524=INDEX('Préstamos'!$G$2:$G$101,MATCH($A524,'Préstamos'!$A$2:$A$101,0))),INDEX('Préstamos'!$I$2:$I$101,MATCH($A524,'Préstamos'!$A$2:$A$101,0))-INDEX('Préstamos'!$K$2:$K$101,MATCH($A524,'Préstamos'!$A$2:$A$101,0))*(INDEX('Préstamos'!$G$2:$G$101,MATCH($A524,'Préstamos'!$A$2:$A$101,0))-1),INDEX('Préstamos'!$K$2:$K$101,MATCH($A524,'Préstamos'!$A$2:$A$101,0))))</f>
        <v/>
      </c>
      <c r="H524" s="29">
        <f>IF($A524="","",F524+G524)</f>
        <v/>
      </c>
      <c r="I524" s="14" t="n"/>
      <c r="J524" s="33" t="n"/>
      <c r="K524" s="16">
        <f>IF(OR($A524="",I524="Pagado"),"",MAX(0,TODAY()-E524))</f>
        <v/>
      </c>
      <c r="L524" s="16">
        <f>IF($A524="","",IF(I524="Pagado","Pagado",IF(E524&lt;TODAY(),"Atrasado",IF(E524&lt;=EOMONTH(TODAY(),0),"Este mes","Pendiente"))))</f>
        <v/>
      </c>
      <c r="M524" s="20">
        <f>IF(OR($A524="",I524="Pagado"),"",HYPERLINK("https://wa.me/"&amp;IF(INDEX('Préstamos'!$C$2:$C$101,MATCH($A524,'Préstamos'!$A$2:$A$101,0))="","","51"&amp;SUBSTITUTE(INDEX('Préstamos'!$C$2:$C$101,MATCH($A524,'Préstamos'!$A$2:$A$101,0))," ",""))&amp;"?text="&amp;SUBSTITUTE("Hola "&amp;B524&amp;", te recuerdo que tu cuota de S/ "&amp;H524&amp;IF(E524&lt;TODAY()," vencio el "," vence el ")&amp;TEXT(E524,"dd/mm")&amp;". Gracias!"," ","%20"),"WhatsApp"))</f>
        <v/>
      </c>
    </row>
    <row r="525">
      <c r="A525" s="14" t="n"/>
      <c r="B525" s="16">
        <f>IF($A525="","",INDEX('Préstamos'!$B$2:$B$101,MATCH($A525,'Préstamos'!$A$2:$A$101,0)))</f>
        <v/>
      </c>
      <c r="C525" s="14" t="n"/>
      <c r="D525" s="14" t="n"/>
      <c r="E525" s="33" t="n"/>
      <c r="F525" s="29">
        <f>IF($A525="","",IF(D525="Solo interés",0,IF(AND(D525&lt;&gt;"Solo interés",C525=INDEX('Préstamos'!$G$2:$G$101,MATCH($A525,'Préstamos'!$A$2:$A$101,0))),INDEX('Préstamos'!$D$2:$D$101,MATCH($A525,'Préstamos'!$A$2:$A$101,0))-INDEX('Préstamos'!$J$2:$J$101,MATCH($A525,'Préstamos'!$A$2:$A$101,0))*(INDEX('Préstamos'!$G$2:$G$101,MATCH($A525,'Préstamos'!$A$2:$A$101,0))-1),INDEX('Préstamos'!$J$2:$J$101,MATCH($A525,'Préstamos'!$A$2:$A$101,0)))))</f>
        <v/>
      </c>
      <c r="G525" s="29">
        <f>IF($A525="","",IF(AND(D525&lt;&gt;"Solo interés",C525=INDEX('Préstamos'!$G$2:$G$101,MATCH($A525,'Préstamos'!$A$2:$A$101,0))),INDEX('Préstamos'!$I$2:$I$101,MATCH($A525,'Préstamos'!$A$2:$A$101,0))-INDEX('Préstamos'!$K$2:$K$101,MATCH($A525,'Préstamos'!$A$2:$A$101,0))*(INDEX('Préstamos'!$G$2:$G$101,MATCH($A525,'Préstamos'!$A$2:$A$101,0))-1),INDEX('Préstamos'!$K$2:$K$101,MATCH($A525,'Préstamos'!$A$2:$A$101,0))))</f>
        <v/>
      </c>
      <c r="H525" s="29">
        <f>IF($A525="","",F525+G525)</f>
        <v/>
      </c>
      <c r="I525" s="14" t="n"/>
      <c r="J525" s="33" t="n"/>
      <c r="K525" s="16">
        <f>IF(OR($A525="",I525="Pagado"),"",MAX(0,TODAY()-E525))</f>
        <v/>
      </c>
      <c r="L525" s="16">
        <f>IF($A525="","",IF(I525="Pagado","Pagado",IF(E525&lt;TODAY(),"Atrasado",IF(E525&lt;=EOMONTH(TODAY(),0),"Este mes","Pendiente"))))</f>
        <v/>
      </c>
      <c r="M525" s="20">
        <f>IF(OR($A525="",I525="Pagado"),"",HYPERLINK("https://wa.me/"&amp;IF(INDEX('Préstamos'!$C$2:$C$101,MATCH($A525,'Préstamos'!$A$2:$A$101,0))="","","51"&amp;SUBSTITUTE(INDEX('Préstamos'!$C$2:$C$101,MATCH($A525,'Préstamos'!$A$2:$A$101,0))," ",""))&amp;"?text="&amp;SUBSTITUTE("Hola "&amp;B525&amp;", te recuerdo que tu cuota de S/ "&amp;H525&amp;IF(E525&lt;TODAY()," vencio el "," vence el ")&amp;TEXT(E525,"dd/mm")&amp;". Gracias!"," ","%20"),"WhatsApp"))</f>
        <v/>
      </c>
    </row>
    <row r="526">
      <c r="A526" s="14" t="n"/>
      <c r="B526" s="16">
        <f>IF($A526="","",INDEX('Préstamos'!$B$2:$B$101,MATCH($A526,'Préstamos'!$A$2:$A$101,0)))</f>
        <v/>
      </c>
      <c r="C526" s="14" t="n"/>
      <c r="D526" s="14" t="n"/>
      <c r="E526" s="33" t="n"/>
      <c r="F526" s="29">
        <f>IF($A526="","",IF(D526="Solo interés",0,IF(AND(D526&lt;&gt;"Solo interés",C526=INDEX('Préstamos'!$G$2:$G$101,MATCH($A526,'Préstamos'!$A$2:$A$101,0))),INDEX('Préstamos'!$D$2:$D$101,MATCH($A526,'Préstamos'!$A$2:$A$101,0))-INDEX('Préstamos'!$J$2:$J$101,MATCH($A526,'Préstamos'!$A$2:$A$101,0))*(INDEX('Préstamos'!$G$2:$G$101,MATCH($A526,'Préstamos'!$A$2:$A$101,0))-1),INDEX('Préstamos'!$J$2:$J$101,MATCH($A526,'Préstamos'!$A$2:$A$101,0)))))</f>
        <v/>
      </c>
      <c r="G526" s="29">
        <f>IF($A526="","",IF(AND(D526&lt;&gt;"Solo interés",C526=INDEX('Préstamos'!$G$2:$G$101,MATCH($A526,'Préstamos'!$A$2:$A$101,0))),INDEX('Préstamos'!$I$2:$I$101,MATCH($A526,'Préstamos'!$A$2:$A$101,0))-INDEX('Préstamos'!$K$2:$K$101,MATCH($A526,'Préstamos'!$A$2:$A$101,0))*(INDEX('Préstamos'!$G$2:$G$101,MATCH($A526,'Préstamos'!$A$2:$A$101,0))-1),INDEX('Préstamos'!$K$2:$K$101,MATCH($A526,'Préstamos'!$A$2:$A$101,0))))</f>
        <v/>
      </c>
      <c r="H526" s="29">
        <f>IF($A526="","",F526+G526)</f>
        <v/>
      </c>
      <c r="I526" s="14" t="n"/>
      <c r="J526" s="33" t="n"/>
      <c r="K526" s="16">
        <f>IF(OR($A526="",I526="Pagado"),"",MAX(0,TODAY()-E526))</f>
        <v/>
      </c>
      <c r="L526" s="16">
        <f>IF($A526="","",IF(I526="Pagado","Pagado",IF(E526&lt;TODAY(),"Atrasado",IF(E526&lt;=EOMONTH(TODAY(),0),"Este mes","Pendiente"))))</f>
        <v/>
      </c>
      <c r="M526" s="20">
        <f>IF(OR($A526="",I526="Pagado"),"",HYPERLINK("https://wa.me/"&amp;IF(INDEX('Préstamos'!$C$2:$C$101,MATCH($A526,'Préstamos'!$A$2:$A$101,0))="","","51"&amp;SUBSTITUTE(INDEX('Préstamos'!$C$2:$C$101,MATCH($A526,'Préstamos'!$A$2:$A$101,0))," ",""))&amp;"?text="&amp;SUBSTITUTE("Hola "&amp;B526&amp;", te recuerdo que tu cuota de S/ "&amp;H526&amp;IF(E526&lt;TODAY()," vencio el "," vence el ")&amp;TEXT(E526,"dd/mm")&amp;". Gracias!"," ","%20"),"WhatsApp"))</f>
        <v/>
      </c>
    </row>
    <row r="527">
      <c r="A527" s="14" t="n"/>
      <c r="B527" s="16">
        <f>IF($A527="","",INDEX('Préstamos'!$B$2:$B$101,MATCH($A527,'Préstamos'!$A$2:$A$101,0)))</f>
        <v/>
      </c>
      <c r="C527" s="14" t="n"/>
      <c r="D527" s="14" t="n"/>
      <c r="E527" s="33" t="n"/>
      <c r="F527" s="29">
        <f>IF($A527="","",IF(D527="Solo interés",0,IF(AND(D527&lt;&gt;"Solo interés",C527=INDEX('Préstamos'!$G$2:$G$101,MATCH($A527,'Préstamos'!$A$2:$A$101,0))),INDEX('Préstamos'!$D$2:$D$101,MATCH($A527,'Préstamos'!$A$2:$A$101,0))-INDEX('Préstamos'!$J$2:$J$101,MATCH($A527,'Préstamos'!$A$2:$A$101,0))*(INDEX('Préstamos'!$G$2:$G$101,MATCH($A527,'Préstamos'!$A$2:$A$101,0))-1),INDEX('Préstamos'!$J$2:$J$101,MATCH($A527,'Préstamos'!$A$2:$A$101,0)))))</f>
        <v/>
      </c>
      <c r="G527" s="29">
        <f>IF($A527="","",IF(AND(D527&lt;&gt;"Solo interés",C527=INDEX('Préstamos'!$G$2:$G$101,MATCH($A527,'Préstamos'!$A$2:$A$101,0))),INDEX('Préstamos'!$I$2:$I$101,MATCH($A527,'Préstamos'!$A$2:$A$101,0))-INDEX('Préstamos'!$K$2:$K$101,MATCH($A527,'Préstamos'!$A$2:$A$101,0))*(INDEX('Préstamos'!$G$2:$G$101,MATCH($A527,'Préstamos'!$A$2:$A$101,0))-1),INDEX('Préstamos'!$K$2:$K$101,MATCH($A527,'Préstamos'!$A$2:$A$101,0))))</f>
        <v/>
      </c>
      <c r="H527" s="29">
        <f>IF($A527="","",F527+G527)</f>
        <v/>
      </c>
      <c r="I527" s="14" t="n"/>
      <c r="J527" s="33" t="n"/>
      <c r="K527" s="16">
        <f>IF(OR($A527="",I527="Pagado"),"",MAX(0,TODAY()-E527))</f>
        <v/>
      </c>
      <c r="L527" s="16">
        <f>IF($A527="","",IF(I527="Pagado","Pagado",IF(E527&lt;TODAY(),"Atrasado",IF(E527&lt;=EOMONTH(TODAY(),0),"Este mes","Pendiente"))))</f>
        <v/>
      </c>
      <c r="M527" s="20">
        <f>IF(OR($A527="",I527="Pagado"),"",HYPERLINK("https://wa.me/"&amp;IF(INDEX('Préstamos'!$C$2:$C$101,MATCH($A527,'Préstamos'!$A$2:$A$101,0))="","","51"&amp;SUBSTITUTE(INDEX('Préstamos'!$C$2:$C$101,MATCH($A527,'Préstamos'!$A$2:$A$101,0))," ",""))&amp;"?text="&amp;SUBSTITUTE("Hola "&amp;B527&amp;", te recuerdo que tu cuota de S/ "&amp;H527&amp;IF(E527&lt;TODAY()," vencio el "," vence el ")&amp;TEXT(E527,"dd/mm")&amp;". Gracias!"," ","%20"),"WhatsApp"))</f>
        <v/>
      </c>
    </row>
    <row r="528">
      <c r="A528" s="14" t="n"/>
      <c r="B528" s="16">
        <f>IF($A528="","",INDEX('Préstamos'!$B$2:$B$101,MATCH($A528,'Préstamos'!$A$2:$A$101,0)))</f>
        <v/>
      </c>
      <c r="C528" s="14" t="n"/>
      <c r="D528" s="14" t="n"/>
      <c r="E528" s="33" t="n"/>
      <c r="F528" s="29">
        <f>IF($A528="","",IF(D528="Solo interés",0,IF(AND(D528&lt;&gt;"Solo interés",C528=INDEX('Préstamos'!$G$2:$G$101,MATCH($A528,'Préstamos'!$A$2:$A$101,0))),INDEX('Préstamos'!$D$2:$D$101,MATCH($A528,'Préstamos'!$A$2:$A$101,0))-INDEX('Préstamos'!$J$2:$J$101,MATCH($A528,'Préstamos'!$A$2:$A$101,0))*(INDEX('Préstamos'!$G$2:$G$101,MATCH($A528,'Préstamos'!$A$2:$A$101,0))-1),INDEX('Préstamos'!$J$2:$J$101,MATCH($A528,'Préstamos'!$A$2:$A$101,0)))))</f>
        <v/>
      </c>
      <c r="G528" s="29">
        <f>IF($A528="","",IF(AND(D528&lt;&gt;"Solo interés",C528=INDEX('Préstamos'!$G$2:$G$101,MATCH($A528,'Préstamos'!$A$2:$A$101,0))),INDEX('Préstamos'!$I$2:$I$101,MATCH($A528,'Préstamos'!$A$2:$A$101,0))-INDEX('Préstamos'!$K$2:$K$101,MATCH($A528,'Préstamos'!$A$2:$A$101,0))*(INDEX('Préstamos'!$G$2:$G$101,MATCH($A528,'Préstamos'!$A$2:$A$101,0))-1),INDEX('Préstamos'!$K$2:$K$101,MATCH($A528,'Préstamos'!$A$2:$A$101,0))))</f>
        <v/>
      </c>
      <c r="H528" s="29">
        <f>IF($A528="","",F528+G528)</f>
        <v/>
      </c>
      <c r="I528" s="14" t="n"/>
      <c r="J528" s="33" t="n"/>
      <c r="K528" s="16">
        <f>IF(OR($A528="",I528="Pagado"),"",MAX(0,TODAY()-E528))</f>
        <v/>
      </c>
      <c r="L528" s="16">
        <f>IF($A528="","",IF(I528="Pagado","Pagado",IF(E528&lt;TODAY(),"Atrasado",IF(E528&lt;=EOMONTH(TODAY(),0),"Este mes","Pendiente"))))</f>
        <v/>
      </c>
      <c r="M528" s="20">
        <f>IF(OR($A528="",I528="Pagado"),"",HYPERLINK("https://wa.me/"&amp;IF(INDEX('Préstamos'!$C$2:$C$101,MATCH($A528,'Préstamos'!$A$2:$A$101,0))="","","51"&amp;SUBSTITUTE(INDEX('Préstamos'!$C$2:$C$101,MATCH($A528,'Préstamos'!$A$2:$A$101,0))," ",""))&amp;"?text="&amp;SUBSTITUTE("Hola "&amp;B528&amp;", te recuerdo que tu cuota de S/ "&amp;H528&amp;IF(E528&lt;TODAY()," vencio el "," vence el ")&amp;TEXT(E528,"dd/mm")&amp;". Gracias!"," ","%20"),"WhatsApp"))</f>
        <v/>
      </c>
    </row>
    <row r="529">
      <c r="A529" s="14" t="n"/>
      <c r="B529" s="16">
        <f>IF($A529="","",INDEX('Préstamos'!$B$2:$B$101,MATCH($A529,'Préstamos'!$A$2:$A$101,0)))</f>
        <v/>
      </c>
      <c r="C529" s="14" t="n"/>
      <c r="D529" s="14" t="n"/>
      <c r="E529" s="33" t="n"/>
      <c r="F529" s="29">
        <f>IF($A529="","",IF(D529="Solo interés",0,IF(AND(D529&lt;&gt;"Solo interés",C529=INDEX('Préstamos'!$G$2:$G$101,MATCH($A529,'Préstamos'!$A$2:$A$101,0))),INDEX('Préstamos'!$D$2:$D$101,MATCH($A529,'Préstamos'!$A$2:$A$101,0))-INDEX('Préstamos'!$J$2:$J$101,MATCH($A529,'Préstamos'!$A$2:$A$101,0))*(INDEX('Préstamos'!$G$2:$G$101,MATCH($A529,'Préstamos'!$A$2:$A$101,0))-1),INDEX('Préstamos'!$J$2:$J$101,MATCH($A529,'Préstamos'!$A$2:$A$101,0)))))</f>
        <v/>
      </c>
      <c r="G529" s="29">
        <f>IF($A529="","",IF(AND(D529&lt;&gt;"Solo interés",C529=INDEX('Préstamos'!$G$2:$G$101,MATCH($A529,'Préstamos'!$A$2:$A$101,0))),INDEX('Préstamos'!$I$2:$I$101,MATCH($A529,'Préstamos'!$A$2:$A$101,0))-INDEX('Préstamos'!$K$2:$K$101,MATCH($A529,'Préstamos'!$A$2:$A$101,0))*(INDEX('Préstamos'!$G$2:$G$101,MATCH($A529,'Préstamos'!$A$2:$A$101,0))-1),INDEX('Préstamos'!$K$2:$K$101,MATCH($A529,'Préstamos'!$A$2:$A$101,0))))</f>
        <v/>
      </c>
      <c r="H529" s="29">
        <f>IF($A529="","",F529+G529)</f>
        <v/>
      </c>
      <c r="I529" s="14" t="n"/>
      <c r="J529" s="33" t="n"/>
      <c r="K529" s="16">
        <f>IF(OR($A529="",I529="Pagado"),"",MAX(0,TODAY()-E529))</f>
        <v/>
      </c>
      <c r="L529" s="16">
        <f>IF($A529="","",IF(I529="Pagado","Pagado",IF(E529&lt;TODAY(),"Atrasado",IF(E529&lt;=EOMONTH(TODAY(),0),"Este mes","Pendiente"))))</f>
        <v/>
      </c>
      <c r="M529" s="20">
        <f>IF(OR($A529="",I529="Pagado"),"",HYPERLINK("https://wa.me/"&amp;IF(INDEX('Préstamos'!$C$2:$C$101,MATCH($A529,'Préstamos'!$A$2:$A$101,0))="","","51"&amp;SUBSTITUTE(INDEX('Préstamos'!$C$2:$C$101,MATCH($A529,'Préstamos'!$A$2:$A$101,0))," ",""))&amp;"?text="&amp;SUBSTITUTE("Hola "&amp;B529&amp;", te recuerdo que tu cuota de S/ "&amp;H529&amp;IF(E529&lt;TODAY()," vencio el "," vence el ")&amp;TEXT(E529,"dd/mm")&amp;". Gracias!"," ","%20"),"WhatsApp"))</f>
        <v/>
      </c>
    </row>
    <row r="530">
      <c r="A530" s="14" t="n"/>
      <c r="B530" s="16">
        <f>IF($A530="","",INDEX('Préstamos'!$B$2:$B$101,MATCH($A530,'Préstamos'!$A$2:$A$101,0)))</f>
        <v/>
      </c>
      <c r="C530" s="14" t="n"/>
      <c r="D530" s="14" t="n"/>
      <c r="E530" s="33" t="n"/>
      <c r="F530" s="29">
        <f>IF($A530="","",IF(D530="Solo interés",0,IF(AND(D530&lt;&gt;"Solo interés",C530=INDEX('Préstamos'!$G$2:$G$101,MATCH($A530,'Préstamos'!$A$2:$A$101,0))),INDEX('Préstamos'!$D$2:$D$101,MATCH($A530,'Préstamos'!$A$2:$A$101,0))-INDEX('Préstamos'!$J$2:$J$101,MATCH($A530,'Préstamos'!$A$2:$A$101,0))*(INDEX('Préstamos'!$G$2:$G$101,MATCH($A530,'Préstamos'!$A$2:$A$101,0))-1),INDEX('Préstamos'!$J$2:$J$101,MATCH($A530,'Préstamos'!$A$2:$A$101,0)))))</f>
        <v/>
      </c>
      <c r="G530" s="29">
        <f>IF($A530="","",IF(AND(D530&lt;&gt;"Solo interés",C530=INDEX('Préstamos'!$G$2:$G$101,MATCH($A530,'Préstamos'!$A$2:$A$101,0))),INDEX('Préstamos'!$I$2:$I$101,MATCH($A530,'Préstamos'!$A$2:$A$101,0))-INDEX('Préstamos'!$K$2:$K$101,MATCH($A530,'Préstamos'!$A$2:$A$101,0))*(INDEX('Préstamos'!$G$2:$G$101,MATCH($A530,'Préstamos'!$A$2:$A$101,0))-1),INDEX('Préstamos'!$K$2:$K$101,MATCH($A530,'Préstamos'!$A$2:$A$101,0))))</f>
        <v/>
      </c>
      <c r="H530" s="29">
        <f>IF($A530="","",F530+G530)</f>
        <v/>
      </c>
      <c r="I530" s="14" t="n"/>
      <c r="J530" s="33" t="n"/>
      <c r="K530" s="16">
        <f>IF(OR($A530="",I530="Pagado"),"",MAX(0,TODAY()-E530))</f>
        <v/>
      </c>
      <c r="L530" s="16">
        <f>IF($A530="","",IF(I530="Pagado","Pagado",IF(E530&lt;TODAY(),"Atrasado",IF(E530&lt;=EOMONTH(TODAY(),0),"Este mes","Pendiente"))))</f>
        <v/>
      </c>
      <c r="M530" s="20">
        <f>IF(OR($A530="",I530="Pagado"),"",HYPERLINK("https://wa.me/"&amp;IF(INDEX('Préstamos'!$C$2:$C$101,MATCH($A530,'Préstamos'!$A$2:$A$101,0))="","","51"&amp;SUBSTITUTE(INDEX('Préstamos'!$C$2:$C$101,MATCH($A530,'Préstamos'!$A$2:$A$101,0))," ",""))&amp;"?text="&amp;SUBSTITUTE("Hola "&amp;B530&amp;", te recuerdo que tu cuota de S/ "&amp;H530&amp;IF(E530&lt;TODAY()," vencio el "," vence el ")&amp;TEXT(E530,"dd/mm")&amp;". Gracias!"," ","%20"),"WhatsApp"))</f>
        <v/>
      </c>
    </row>
    <row r="531">
      <c r="A531" s="14" t="n"/>
      <c r="B531" s="16">
        <f>IF($A531="","",INDEX('Préstamos'!$B$2:$B$101,MATCH($A531,'Préstamos'!$A$2:$A$101,0)))</f>
        <v/>
      </c>
      <c r="C531" s="14" t="n"/>
      <c r="D531" s="14" t="n"/>
      <c r="E531" s="33" t="n"/>
      <c r="F531" s="29">
        <f>IF($A531="","",IF(D531="Solo interés",0,IF(AND(D531&lt;&gt;"Solo interés",C531=INDEX('Préstamos'!$G$2:$G$101,MATCH($A531,'Préstamos'!$A$2:$A$101,0))),INDEX('Préstamos'!$D$2:$D$101,MATCH($A531,'Préstamos'!$A$2:$A$101,0))-INDEX('Préstamos'!$J$2:$J$101,MATCH($A531,'Préstamos'!$A$2:$A$101,0))*(INDEX('Préstamos'!$G$2:$G$101,MATCH($A531,'Préstamos'!$A$2:$A$101,0))-1),INDEX('Préstamos'!$J$2:$J$101,MATCH($A531,'Préstamos'!$A$2:$A$101,0)))))</f>
        <v/>
      </c>
      <c r="G531" s="29">
        <f>IF($A531="","",IF(AND(D531&lt;&gt;"Solo interés",C531=INDEX('Préstamos'!$G$2:$G$101,MATCH($A531,'Préstamos'!$A$2:$A$101,0))),INDEX('Préstamos'!$I$2:$I$101,MATCH($A531,'Préstamos'!$A$2:$A$101,0))-INDEX('Préstamos'!$K$2:$K$101,MATCH($A531,'Préstamos'!$A$2:$A$101,0))*(INDEX('Préstamos'!$G$2:$G$101,MATCH($A531,'Préstamos'!$A$2:$A$101,0))-1),INDEX('Préstamos'!$K$2:$K$101,MATCH($A531,'Préstamos'!$A$2:$A$101,0))))</f>
        <v/>
      </c>
      <c r="H531" s="29">
        <f>IF($A531="","",F531+G531)</f>
        <v/>
      </c>
      <c r="I531" s="14" t="n"/>
      <c r="J531" s="33" t="n"/>
      <c r="K531" s="16">
        <f>IF(OR($A531="",I531="Pagado"),"",MAX(0,TODAY()-E531))</f>
        <v/>
      </c>
      <c r="L531" s="16">
        <f>IF($A531="","",IF(I531="Pagado","Pagado",IF(E531&lt;TODAY(),"Atrasado",IF(E531&lt;=EOMONTH(TODAY(),0),"Este mes","Pendiente"))))</f>
        <v/>
      </c>
      <c r="M531" s="20">
        <f>IF(OR($A531="",I531="Pagado"),"",HYPERLINK("https://wa.me/"&amp;IF(INDEX('Préstamos'!$C$2:$C$101,MATCH($A531,'Préstamos'!$A$2:$A$101,0))="","","51"&amp;SUBSTITUTE(INDEX('Préstamos'!$C$2:$C$101,MATCH($A531,'Préstamos'!$A$2:$A$101,0))," ",""))&amp;"?text="&amp;SUBSTITUTE("Hola "&amp;B531&amp;", te recuerdo que tu cuota de S/ "&amp;H531&amp;IF(E531&lt;TODAY()," vencio el "," vence el ")&amp;TEXT(E531,"dd/mm")&amp;". Gracias!"," ","%20"),"WhatsApp"))</f>
        <v/>
      </c>
    </row>
    <row r="532">
      <c r="A532" s="14" t="n"/>
      <c r="B532" s="16">
        <f>IF($A532="","",INDEX('Préstamos'!$B$2:$B$101,MATCH($A532,'Préstamos'!$A$2:$A$101,0)))</f>
        <v/>
      </c>
      <c r="C532" s="14" t="n"/>
      <c r="D532" s="14" t="n"/>
      <c r="E532" s="33" t="n"/>
      <c r="F532" s="29">
        <f>IF($A532="","",IF(D532="Solo interés",0,IF(AND(D532&lt;&gt;"Solo interés",C532=INDEX('Préstamos'!$G$2:$G$101,MATCH($A532,'Préstamos'!$A$2:$A$101,0))),INDEX('Préstamos'!$D$2:$D$101,MATCH($A532,'Préstamos'!$A$2:$A$101,0))-INDEX('Préstamos'!$J$2:$J$101,MATCH($A532,'Préstamos'!$A$2:$A$101,0))*(INDEX('Préstamos'!$G$2:$G$101,MATCH($A532,'Préstamos'!$A$2:$A$101,0))-1),INDEX('Préstamos'!$J$2:$J$101,MATCH($A532,'Préstamos'!$A$2:$A$101,0)))))</f>
        <v/>
      </c>
      <c r="G532" s="29">
        <f>IF($A532="","",IF(AND(D532&lt;&gt;"Solo interés",C532=INDEX('Préstamos'!$G$2:$G$101,MATCH($A532,'Préstamos'!$A$2:$A$101,0))),INDEX('Préstamos'!$I$2:$I$101,MATCH($A532,'Préstamos'!$A$2:$A$101,0))-INDEX('Préstamos'!$K$2:$K$101,MATCH($A532,'Préstamos'!$A$2:$A$101,0))*(INDEX('Préstamos'!$G$2:$G$101,MATCH($A532,'Préstamos'!$A$2:$A$101,0))-1),INDEX('Préstamos'!$K$2:$K$101,MATCH($A532,'Préstamos'!$A$2:$A$101,0))))</f>
        <v/>
      </c>
      <c r="H532" s="29">
        <f>IF($A532="","",F532+G532)</f>
        <v/>
      </c>
      <c r="I532" s="14" t="n"/>
      <c r="J532" s="33" t="n"/>
      <c r="K532" s="16">
        <f>IF(OR($A532="",I532="Pagado"),"",MAX(0,TODAY()-E532))</f>
        <v/>
      </c>
      <c r="L532" s="16">
        <f>IF($A532="","",IF(I532="Pagado","Pagado",IF(E532&lt;TODAY(),"Atrasado",IF(E532&lt;=EOMONTH(TODAY(),0),"Este mes","Pendiente"))))</f>
        <v/>
      </c>
      <c r="M532" s="20">
        <f>IF(OR($A532="",I532="Pagado"),"",HYPERLINK("https://wa.me/"&amp;IF(INDEX('Préstamos'!$C$2:$C$101,MATCH($A532,'Préstamos'!$A$2:$A$101,0))="","","51"&amp;SUBSTITUTE(INDEX('Préstamos'!$C$2:$C$101,MATCH($A532,'Préstamos'!$A$2:$A$101,0))," ",""))&amp;"?text="&amp;SUBSTITUTE("Hola "&amp;B532&amp;", te recuerdo que tu cuota de S/ "&amp;H532&amp;IF(E532&lt;TODAY()," vencio el "," vence el ")&amp;TEXT(E532,"dd/mm")&amp;". Gracias!"," ","%20"),"WhatsApp"))</f>
        <v/>
      </c>
    </row>
    <row r="533">
      <c r="A533" s="14" t="n"/>
      <c r="B533" s="16">
        <f>IF($A533="","",INDEX('Préstamos'!$B$2:$B$101,MATCH($A533,'Préstamos'!$A$2:$A$101,0)))</f>
        <v/>
      </c>
      <c r="C533" s="14" t="n"/>
      <c r="D533" s="14" t="n"/>
      <c r="E533" s="33" t="n"/>
      <c r="F533" s="29">
        <f>IF($A533="","",IF(D533="Solo interés",0,IF(AND(D533&lt;&gt;"Solo interés",C533=INDEX('Préstamos'!$G$2:$G$101,MATCH($A533,'Préstamos'!$A$2:$A$101,0))),INDEX('Préstamos'!$D$2:$D$101,MATCH($A533,'Préstamos'!$A$2:$A$101,0))-INDEX('Préstamos'!$J$2:$J$101,MATCH($A533,'Préstamos'!$A$2:$A$101,0))*(INDEX('Préstamos'!$G$2:$G$101,MATCH($A533,'Préstamos'!$A$2:$A$101,0))-1),INDEX('Préstamos'!$J$2:$J$101,MATCH($A533,'Préstamos'!$A$2:$A$101,0)))))</f>
        <v/>
      </c>
      <c r="G533" s="29">
        <f>IF($A533="","",IF(AND(D533&lt;&gt;"Solo interés",C533=INDEX('Préstamos'!$G$2:$G$101,MATCH($A533,'Préstamos'!$A$2:$A$101,0))),INDEX('Préstamos'!$I$2:$I$101,MATCH($A533,'Préstamos'!$A$2:$A$101,0))-INDEX('Préstamos'!$K$2:$K$101,MATCH($A533,'Préstamos'!$A$2:$A$101,0))*(INDEX('Préstamos'!$G$2:$G$101,MATCH($A533,'Préstamos'!$A$2:$A$101,0))-1),INDEX('Préstamos'!$K$2:$K$101,MATCH($A533,'Préstamos'!$A$2:$A$101,0))))</f>
        <v/>
      </c>
      <c r="H533" s="29">
        <f>IF($A533="","",F533+G533)</f>
        <v/>
      </c>
      <c r="I533" s="14" t="n"/>
      <c r="J533" s="33" t="n"/>
      <c r="K533" s="16">
        <f>IF(OR($A533="",I533="Pagado"),"",MAX(0,TODAY()-E533))</f>
        <v/>
      </c>
      <c r="L533" s="16">
        <f>IF($A533="","",IF(I533="Pagado","Pagado",IF(E533&lt;TODAY(),"Atrasado",IF(E533&lt;=EOMONTH(TODAY(),0),"Este mes","Pendiente"))))</f>
        <v/>
      </c>
      <c r="M533" s="20">
        <f>IF(OR($A533="",I533="Pagado"),"",HYPERLINK("https://wa.me/"&amp;IF(INDEX('Préstamos'!$C$2:$C$101,MATCH($A533,'Préstamos'!$A$2:$A$101,0))="","","51"&amp;SUBSTITUTE(INDEX('Préstamos'!$C$2:$C$101,MATCH($A533,'Préstamos'!$A$2:$A$101,0))," ",""))&amp;"?text="&amp;SUBSTITUTE("Hola "&amp;B533&amp;", te recuerdo que tu cuota de S/ "&amp;H533&amp;IF(E533&lt;TODAY()," vencio el "," vence el ")&amp;TEXT(E533,"dd/mm")&amp;". Gracias!"," ","%20"),"WhatsApp"))</f>
        <v/>
      </c>
    </row>
    <row r="534">
      <c r="A534" s="14" t="n"/>
      <c r="B534" s="16">
        <f>IF($A534="","",INDEX('Préstamos'!$B$2:$B$101,MATCH($A534,'Préstamos'!$A$2:$A$101,0)))</f>
        <v/>
      </c>
      <c r="C534" s="14" t="n"/>
      <c r="D534" s="14" t="n"/>
      <c r="E534" s="33" t="n"/>
      <c r="F534" s="29">
        <f>IF($A534="","",IF(D534="Solo interés",0,IF(AND(D534&lt;&gt;"Solo interés",C534=INDEX('Préstamos'!$G$2:$G$101,MATCH($A534,'Préstamos'!$A$2:$A$101,0))),INDEX('Préstamos'!$D$2:$D$101,MATCH($A534,'Préstamos'!$A$2:$A$101,0))-INDEX('Préstamos'!$J$2:$J$101,MATCH($A534,'Préstamos'!$A$2:$A$101,0))*(INDEX('Préstamos'!$G$2:$G$101,MATCH($A534,'Préstamos'!$A$2:$A$101,0))-1),INDEX('Préstamos'!$J$2:$J$101,MATCH($A534,'Préstamos'!$A$2:$A$101,0)))))</f>
        <v/>
      </c>
      <c r="G534" s="29">
        <f>IF($A534="","",IF(AND(D534&lt;&gt;"Solo interés",C534=INDEX('Préstamos'!$G$2:$G$101,MATCH($A534,'Préstamos'!$A$2:$A$101,0))),INDEX('Préstamos'!$I$2:$I$101,MATCH($A534,'Préstamos'!$A$2:$A$101,0))-INDEX('Préstamos'!$K$2:$K$101,MATCH($A534,'Préstamos'!$A$2:$A$101,0))*(INDEX('Préstamos'!$G$2:$G$101,MATCH($A534,'Préstamos'!$A$2:$A$101,0))-1),INDEX('Préstamos'!$K$2:$K$101,MATCH($A534,'Préstamos'!$A$2:$A$101,0))))</f>
        <v/>
      </c>
      <c r="H534" s="29">
        <f>IF($A534="","",F534+G534)</f>
        <v/>
      </c>
      <c r="I534" s="14" t="n"/>
      <c r="J534" s="33" t="n"/>
      <c r="K534" s="16">
        <f>IF(OR($A534="",I534="Pagado"),"",MAX(0,TODAY()-E534))</f>
        <v/>
      </c>
      <c r="L534" s="16">
        <f>IF($A534="","",IF(I534="Pagado","Pagado",IF(E534&lt;TODAY(),"Atrasado",IF(E534&lt;=EOMONTH(TODAY(),0),"Este mes","Pendiente"))))</f>
        <v/>
      </c>
      <c r="M534" s="20">
        <f>IF(OR($A534="",I534="Pagado"),"",HYPERLINK("https://wa.me/"&amp;IF(INDEX('Préstamos'!$C$2:$C$101,MATCH($A534,'Préstamos'!$A$2:$A$101,0))="","","51"&amp;SUBSTITUTE(INDEX('Préstamos'!$C$2:$C$101,MATCH($A534,'Préstamos'!$A$2:$A$101,0))," ",""))&amp;"?text="&amp;SUBSTITUTE("Hola "&amp;B534&amp;", te recuerdo que tu cuota de S/ "&amp;H534&amp;IF(E534&lt;TODAY()," vencio el "," vence el ")&amp;TEXT(E534,"dd/mm")&amp;". Gracias!"," ","%20"),"WhatsApp"))</f>
        <v/>
      </c>
    </row>
    <row r="535">
      <c r="A535" s="14" t="n"/>
      <c r="B535" s="16">
        <f>IF($A535="","",INDEX('Préstamos'!$B$2:$B$101,MATCH($A535,'Préstamos'!$A$2:$A$101,0)))</f>
        <v/>
      </c>
      <c r="C535" s="14" t="n"/>
      <c r="D535" s="14" t="n"/>
      <c r="E535" s="33" t="n"/>
      <c r="F535" s="29">
        <f>IF($A535="","",IF(D535="Solo interés",0,IF(AND(D535&lt;&gt;"Solo interés",C535=INDEX('Préstamos'!$G$2:$G$101,MATCH($A535,'Préstamos'!$A$2:$A$101,0))),INDEX('Préstamos'!$D$2:$D$101,MATCH($A535,'Préstamos'!$A$2:$A$101,0))-INDEX('Préstamos'!$J$2:$J$101,MATCH($A535,'Préstamos'!$A$2:$A$101,0))*(INDEX('Préstamos'!$G$2:$G$101,MATCH($A535,'Préstamos'!$A$2:$A$101,0))-1),INDEX('Préstamos'!$J$2:$J$101,MATCH($A535,'Préstamos'!$A$2:$A$101,0)))))</f>
        <v/>
      </c>
      <c r="G535" s="29">
        <f>IF($A535="","",IF(AND(D535&lt;&gt;"Solo interés",C535=INDEX('Préstamos'!$G$2:$G$101,MATCH($A535,'Préstamos'!$A$2:$A$101,0))),INDEX('Préstamos'!$I$2:$I$101,MATCH($A535,'Préstamos'!$A$2:$A$101,0))-INDEX('Préstamos'!$K$2:$K$101,MATCH($A535,'Préstamos'!$A$2:$A$101,0))*(INDEX('Préstamos'!$G$2:$G$101,MATCH($A535,'Préstamos'!$A$2:$A$101,0))-1),INDEX('Préstamos'!$K$2:$K$101,MATCH($A535,'Préstamos'!$A$2:$A$101,0))))</f>
        <v/>
      </c>
      <c r="H535" s="29">
        <f>IF($A535="","",F535+G535)</f>
        <v/>
      </c>
      <c r="I535" s="14" t="n"/>
      <c r="J535" s="33" t="n"/>
      <c r="K535" s="16">
        <f>IF(OR($A535="",I535="Pagado"),"",MAX(0,TODAY()-E535))</f>
        <v/>
      </c>
      <c r="L535" s="16">
        <f>IF($A535="","",IF(I535="Pagado","Pagado",IF(E535&lt;TODAY(),"Atrasado",IF(E535&lt;=EOMONTH(TODAY(),0),"Este mes","Pendiente"))))</f>
        <v/>
      </c>
      <c r="M535" s="20">
        <f>IF(OR($A535="",I535="Pagado"),"",HYPERLINK("https://wa.me/"&amp;IF(INDEX('Préstamos'!$C$2:$C$101,MATCH($A535,'Préstamos'!$A$2:$A$101,0))="","","51"&amp;SUBSTITUTE(INDEX('Préstamos'!$C$2:$C$101,MATCH($A535,'Préstamos'!$A$2:$A$101,0))," ",""))&amp;"?text="&amp;SUBSTITUTE("Hola "&amp;B535&amp;", te recuerdo que tu cuota de S/ "&amp;H535&amp;IF(E535&lt;TODAY()," vencio el "," vence el ")&amp;TEXT(E535,"dd/mm")&amp;". Gracias!"," ","%20"),"WhatsApp"))</f>
        <v/>
      </c>
    </row>
    <row r="536">
      <c r="A536" s="14" t="n"/>
      <c r="B536" s="16">
        <f>IF($A536="","",INDEX('Préstamos'!$B$2:$B$101,MATCH($A536,'Préstamos'!$A$2:$A$101,0)))</f>
        <v/>
      </c>
      <c r="C536" s="14" t="n"/>
      <c r="D536" s="14" t="n"/>
      <c r="E536" s="33" t="n"/>
      <c r="F536" s="29">
        <f>IF($A536="","",IF(D536="Solo interés",0,IF(AND(D536&lt;&gt;"Solo interés",C536=INDEX('Préstamos'!$G$2:$G$101,MATCH($A536,'Préstamos'!$A$2:$A$101,0))),INDEX('Préstamos'!$D$2:$D$101,MATCH($A536,'Préstamos'!$A$2:$A$101,0))-INDEX('Préstamos'!$J$2:$J$101,MATCH($A536,'Préstamos'!$A$2:$A$101,0))*(INDEX('Préstamos'!$G$2:$G$101,MATCH($A536,'Préstamos'!$A$2:$A$101,0))-1),INDEX('Préstamos'!$J$2:$J$101,MATCH($A536,'Préstamos'!$A$2:$A$101,0)))))</f>
        <v/>
      </c>
      <c r="G536" s="29">
        <f>IF($A536="","",IF(AND(D536&lt;&gt;"Solo interés",C536=INDEX('Préstamos'!$G$2:$G$101,MATCH($A536,'Préstamos'!$A$2:$A$101,0))),INDEX('Préstamos'!$I$2:$I$101,MATCH($A536,'Préstamos'!$A$2:$A$101,0))-INDEX('Préstamos'!$K$2:$K$101,MATCH($A536,'Préstamos'!$A$2:$A$101,0))*(INDEX('Préstamos'!$G$2:$G$101,MATCH($A536,'Préstamos'!$A$2:$A$101,0))-1),INDEX('Préstamos'!$K$2:$K$101,MATCH($A536,'Préstamos'!$A$2:$A$101,0))))</f>
        <v/>
      </c>
      <c r="H536" s="29">
        <f>IF($A536="","",F536+G536)</f>
        <v/>
      </c>
      <c r="I536" s="14" t="n"/>
      <c r="J536" s="33" t="n"/>
      <c r="K536" s="16">
        <f>IF(OR($A536="",I536="Pagado"),"",MAX(0,TODAY()-E536))</f>
        <v/>
      </c>
      <c r="L536" s="16">
        <f>IF($A536="","",IF(I536="Pagado","Pagado",IF(E536&lt;TODAY(),"Atrasado",IF(E536&lt;=EOMONTH(TODAY(),0),"Este mes","Pendiente"))))</f>
        <v/>
      </c>
      <c r="M536" s="20">
        <f>IF(OR($A536="",I536="Pagado"),"",HYPERLINK("https://wa.me/"&amp;IF(INDEX('Préstamos'!$C$2:$C$101,MATCH($A536,'Préstamos'!$A$2:$A$101,0))="","","51"&amp;SUBSTITUTE(INDEX('Préstamos'!$C$2:$C$101,MATCH($A536,'Préstamos'!$A$2:$A$101,0))," ",""))&amp;"?text="&amp;SUBSTITUTE("Hola "&amp;B536&amp;", te recuerdo que tu cuota de S/ "&amp;H536&amp;IF(E536&lt;TODAY()," vencio el "," vence el ")&amp;TEXT(E536,"dd/mm")&amp;". Gracias!"," ","%20"),"WhatsApp"))</f>
        <v/>
      </c>
    </row>
    <row r="537">
      <c r="A537" s="14" t="n"/>
      <c r="B537" s="16">
        <f>IF($A537="","",INDEX('Préstamos'!$B$2:$B$101,MATCH($A537,'Préstamos'!$A$2:$A$101,0)))</f>
        <v/>
      </c>
      <c r="C537" s="14" t="n"/>
      <c r="D537" s="14" t="n"/>
      <c r="E537" s="33" t="n"/>
      <c r="F537" s="29">
        <f>IF($A537="","",IF(D537="Solo interés",0,IF(AND(D537&lt;&gt;"Solo interés",C537=INDEX('Préstamos'!$G$2:$G$101,MATCH($A537,'Préstamos'!$A$2:$A$101,0))),INDEX('Préstamos'!$D$2:$D$101,MATCH($A537,'Préstamos'!$A$2:$A$101,0))-INDEX('Préstamos'!$J$2:$J$101,MATCH($A537,'Préstamos'!$A$2:$A$101,0))*(INDEX('Préstamos'!$G$2:$G$101,MATCH($A537,'Préstamos'!$A$2:$A$101,0))-1),INDEX('Préstamos'!$J$2:$J$101,MATCH($A537,'Préstamos'!$A$2:$A$101,0)))))</f>
        <v/>
      </c>
      <c r="G537" s="29">
        <f>IF($A537="","",IF(AND(D537&lt;&gt;"Solo interés",C537=INDEX('Préstamos'!$G$2:$G$101,MATCH($A537,'Préstamos'!$A$2:$A$101,0))),INDEX('Préstamos'!$I$2:$I$101,MATCH($A537,'Préstamos'!$A$2:$A$101,0))-INDEX('Préstamos'!$K$2:$K$101,MATCH($A537,'Préstamos'!$A$2:$A$101,0))*(INDEX('Préstamos'!$G$2:$G$101,MATCH($A537,'Préstamos'!$A$2:$A$101,0))-1),INDEX('Préstamos'!$K$2:$K$101,MATCH($A537,'Préstamos'!$A$2:$A$101,0))))</f>
        <v/>
      </c>
      <c r="H537" s="29">
        <f>IF($A537="","",F537+G537)</f>
        <v/>
      </c>
      <c r="I537" s="14" t="n"/>
      <c r="J537" s="33" t="n"/>
      <c r="K537" s="16">
        <f>IF(OR($A537="",I537="Pagado"),"",MAX(0,TODAY()-E537))</f>
        <v/>
      </c>
      <c r="L537" s="16">
        <f>IF($A537="","",IF(I537="Pagado","Pagado",IF(E537&lt;TODAY(),"Atrasado",IF(E537&lt;=EOMONTH(TODAY(),0),"Este mes","Pendiente"))))</f>
        <v/>
      </c>
      <c r="M537" s="20">
        <f>IF(OR($A537="",I537="Pagado"),"",HYPERLINK("https://wa.me/"&amp;IF(INDEX('Préstamos'!$C$2:$C$101,MATCH($A537,'Préstamos'!$A$2:$A$101,0))="","","51"&amp;SUBSTITUTE(INDEX('Préstamos'!$C$2:$C$101,MATCH($A537,'Préstamos'!$A$2:$A$101,0))," ",""))&amp;"?text="&amp;SUBSTITUTE("Hola "&amp;B537&amp;", te recuerdo que tu cuota de S/ "&amp;H537&amp;IF(E537&lt;TODAY()," vencio el "," vence el ")&amp;TEXT(E537,"dd/mm")&amp;". Gracias!"," ","%20"),"WhatsApp"))</f>
        <v/>
      </c>
    </row>
    <row r="538">
      <c r="A538" s="14" t="n"/>
      <c r="B538" s="16">
        <f>IF($A538="","",INDEX('Préstamos'!$B$2:$B$101,MATCH($A538,'Préstamos'!$A$2:$A$101,0)))</f>
        <v/>
      </c>
      <c r="C538" s="14" t="n"/>
      <c r="D538" s="14" t="n"/>
      <c r="E538" s="33" t="n"/>
      <c r="F538" s="29">
        <f>IF($A538="","",IF(D538="Solo interés",0,IF(AND(D538&lt;&gt;"Solo interés",C538=INDEX('Préstamos'!$G$2:$G$101,MATCH($A538,'Préstamos'!$A$2:$A$101,0))),INDEX('Préstamos'!$D$2:$D$101,MATCH($A538,'Préstamos'!$A$2:$A$101,0))-INDEX('Préstamos'!$J$2:$J$101,MATCH($A538,'Préstamos'!$A$2:$A$101,0))*(INDEX('Préstamos'!$G$2:$G$101,MATCH($A538,'Préstamos'!$A$2:$A$101,0))-1),INDEX('Préstamos'!$J$2:$J$101,MATCH($A538,'Préstamos'!$A$2:$A$101,0)))))</f>
        <v/>
      </c>
      <c r="G538" s="29">
        <f>IF($A538="","",IF(AND(D538&lt;&gt;"Solo interés",C538=INDEX('Préstamos'!$G$2:$G$101,MATCH($A538,'Préstamos'!$A$2:$A$101,0))),INDEX('Préstamos'!$I$2:$I$101,MATCH($A538,'Préstamos'!$A$2:$A$101,0))-INDEX('Préstamos'!$K$2:$K$101,MATCH($A538,'Préstamos'!$A$2:$A$101,0))*(INDEX('Préstamos'!$G$2:$G$101,MATCH($A538,'Préstamos'!$A$2:$A$101,0))-1),INDEX('Préstamos'!$K$2:$K$101,MATCH($A538,'Préstamos'!$A$2:$A$101,0))))</f>
        <v/>
      </c>
      <c r="H538" s="29">
        <f>IF($A538="","",F538+G538)</f>
        <v/>
      </c>
      <c r="I538" s="14" t="n"/>
      <c r="J538" s="33" t="n"/>
      <c r="K538" s="16">
        <f>IF(OR($A538="",I538="Pagado"),"",MAX(0,TODAY()-E538))</f>
        <v/>
      </c>
      <c r="L538" s="16">
        <f>IF($A538="","",IF(I538="Pagado","Pagado",IF(E538&lt;TODAY(),"Atrasado",IF(E538&lt;=EOMONTH(TODAY(),0),"Este mes","Pendiente"))))</f>
        <v/>
      </c>
      <c r="M538" s="20">
        <f>IF(OR($A538="",I538="Pagado"),"",HYPERLINK("https://wa.me/"&amp;IF(INDEX('Préstamos'!$C$2:$C$101,MATCH($A538,'Préstamos'!$A$2:$A$101,0))="","","51"&amp;SUBSTITUTE(INDEX('Préstamos'!$C$2:$C$101,MATCH($A538,'Préstamos'!$A$2:$A$101,0))," ",""))&amp;"?text="&amp;SUBSTITUTE("Hola "&amp;B538&amp;", te recuerdo que tu cuota de S/ "&amp;H538&amp;IF(E538&lt;TODAY()," vencio el "," vence el ")&amp;TEXT(E538,"dd/mm")&amp;". Gracias!"," ","%20"),"WhatsApp"))</f>
        <v/>
      </c>
    </row>
    <row r="539">
      <c r="A539" s="14" t="n"/>
      <c r="B539" s="16">
        <f>IF($A539="","",INDEX('Préstamos'!$B$2:$B$101,MATCH($A539,'Préstamos'!$A$2:$A$101,0)))</f>
        <v/>
      </c>
      <c r="C539" s="14" t="n"/>
      <c r="D539" s="14" t="n"/>
      <c r="E539" s="33" t="n"/>
      <c r="F539" s="29">
        <f>IF($A539="","",IF(D539="Solo interés",0,IF(AND(D539&lt;&gt;"Solo interés",C539=INDEX('Préstamos'!$G$2:$G$101,MATCH($A539,'Préstamos'!$A$2:$A$101,0))),INDEX('Préstamos'!$D$2:$D$101,MATCH($A539,'Préstamos'!$A$2:$A$101,0))-INDEX('Préstamos'!$J$2:$J$101,MATCH($A539,'Préstamos'!$A$2:$A$101,0))*(INDEX('Préstamos'!$G$2:$G$101,MATCH($A539,'Préstamos'!$A$2:$A$101,0))-1),INDEX('Préstamos'!$J$2:$J$101,MATCH($A539,'Préstamos'!$A$2:$A$101,0)))))</f>
        <v/>
      </c>
      <c r="G539" s="29">
        <f>IF($A539="","",IF(AND(D539&lt;&gt;"Solo interés",C539=INDEX('Préstamos'!$G$2:$G$101,MATCH($A539,'Préstamos'!$A$2:$A$101,0))),INDEX('Préstamos'!$I$2:$I$101,MATCH($A539,'Préstamos'!$A$2:$A$101,0))-INDEX('Préstamos'!$K$2:$K$101,MATCH($A539,'Préstamos'!$A$2:$A$101,0))*(INDEX('Préstamos'!$G$2:$G$101,MATCH($A539,'Préstamos'!$A$2:$A$101,0))-1),INDEX('Préstamos'!$K$2:$K$101,MATCH($A539,'Préstamos'!$A$2:$A$101,0))))</f>
        <v/>
      </c>
      <c r="H539" s="29">
        <f>IF($A539="","",F539+G539)</f>
        <v/>
      </c>
      <c r="I539" s="14" t="n"/>
      <c r="J539" s="33" t="n"/>
      <c r="K539" s="16">
        <f>IF(OR($A539="",I539="Pagado"),"",MAX(0,TODAY()-E539))</f>
        <v/>
      </c>
      <c r="L539" s="16">
        <f>IF($A539="","",IF(I539="Pagado","Pagado",IF(E539&lt;TODAY(),"Atrasado",IF(E539&lt;=EOMONTH(TODAY(),0),"Este mes","Pendiente"))))</f>
        <v/>
      </c>
      <c r="M539" s="20">
        <f>IF(OR($A539="",I539="Pagado"),"",HYPERLINK("https://wa.me/"&amp;IF(INDEX('Préstamos'!$C$2:$C$101,MATCH($A539,'Préstamos'!$A$2:$A$101,0))="","","51"&amp;SUBSTITUTE(INDEX('Préstamos'!$C$2:$C$101,MATCH($A539,'Préstamos'!$A$2:$A$101,0))," ",""))&amp;"?text="&amp;SUBSTITUTE("Hola "&amp;B539&amp;", te recuerdo que tu cuota de S/ "&amp;H539&amp;IF(E539&lt;TODAY()," vencio el "," vence el ")&amp;TEXT(E539,"dd/mm")&amp;". Gracias!"," ","%20"),"WhatsApp"))</f>
        <v/>
      </c>
    </row>
    <row r="540">
      <c r="A540" s="14" t="n"/>
      <c r="B540" s="16">
        <f>IF($A540="","",INDEX('Préstamos'!$B$2:$B$101,MATCH($A540,'Préstamos'!$A$2:$A$101,0)))</f>
        <v/>
      </c>
      <c r="C540" s="14" t="n"/>
      <c r="D540" s="14" t="n"/>
      <c r="E540" s="33" t="n"/>
      <c r="F540" s="29">
        <f>IF($A540="","",IF(D540="Solo interés",0,IF(AND(D540&lt;&gt;"Solo interés",C540=INDEX('Préstamos'!$G$2:$G$101,MATCH($A540,'Préstamos'!$A$2:$A$101,0))),INDEX('Préstamos'!$D$2:$D$101,MATCH($A540,'Préstamos'!$A$2:$A$101,0))-INDEX('Préstamos'!$J$2:$J$101,MATCH($A540,'Préstamos'!$A$2:$A$101,0))*(INDEX('Préstamos'!$G$2:$G$101,MATCH($A540,'Préstamos'!$A$2:$A$101,0))-1),INDEX('Préstamos'!$J$2:$J$101,MATCH($A540,'Préstamos'!$A$2:$A$101,0)))))</f>
        <v/>
      </c>
      <c r="G540" s="29">
        <f>IF($A540="","",IF(AND(D540&lt;&gt;"Solo interés",C540=INDEX('Préstamos'!$G$2:$G$101,MATCH($A540,'Préstamos'!$A$2:$A$101,0))),INDEX('Préstamos'!$I$2:$I$101,MATCH($A540,'Préstamos'!$A$2:$A$101,0))-INDEX('Préstamos'!$K$2:$K$101,MATCH($A540,'Préstamos'!$A$2:$A$101,0))*(INDEX('Préstamos'!$G$2:$G$101,MATCH($A540,'Préstamos'!$A$2:$A$101,0))-1),INDEX('Préstamos'!$K$2:$K$101,MATCH($A540,'Préstamos'!$A$2:$A$101,0))))</f>
        <v/>
      </c>
      <c r="H540" s="29">
        <f>IF($A540="","",F540+G540)</f>
        <v/>
      </c>
      <c r="I540" s="14" t="n"/>
      <c r="J540" s="33" t="n"/>
      <c r="K540" s="16">
        <f>IF(OR($A540="",I540="Pagado"),"",MAX(0,TODAY()-E540))</f>
        <v/>
      </c>
      <c r="L540" s="16">
        <f>IF($A540="","",IF(I540="Pagado","Pagado",IF(E540&lt;TODAY(),"Atrasado",IF(E540&lt;=EOMONTH(TODAY(),0),"Este mes","Pendiente"))))</f>
        <v/>
      </c>
      <c r="M540" s="20">
        <f>IF(OR($A540="",I540="Pagado"),"",HYPERLINK("https://wa.me/"&amp;IF(INDEX('Préstamos'!$C$2:$C$101,MATCH($A540,'Préstamos'!$A$2:$A$101,0))="","","51"&amp;SUBSTITUTE(INDEX('Préstamos'!$C$2:$C$101,MATCH($A540,'Préstamos'!$A$2:$A$101,0))," ",""))&amp;"?text="&amp;SUBSTITUTE("Hola "&amp;B540&amp;", te recuerdo que tu cuota de S/ "&amp;H540&amp;IF(E540&lt;TODAY()," vencio el "," vence el ")&amp;TEXT(E540,"dd/mm")&amp;". Gracias!"," ","%20"),"WhatsApp"))</f>
        <v/>
      </c>
    </row>
    <row r="541">
      <c r="A541" s="14" t="n"/>
      <c r="B541" s="16">
        <f>IF($A541="","",INDEX('Préstamos'!$B$2:$B$101,MATCH($A541,'Préstamos'!$A$2:$A$101,0)))</f>
        <v/>
      </c>
      <c r="C541" s="14" t="n"/>
      <c r="D541" s="14" t="n"/>
      <c r="E541" s="33" t="n"/>
      <c r="F541" s="29">
        <f>IF($A541="","",IF(D541="Solo interés",0,IF(AND(D541&lt;&gt;"Solo interés",C541=INDEX('Préstamos'!$G$2:$G$101,MATCH($A541,'Préstamos'!$A$2:$A$101,0))),INDEX('Préstamos'!$D$2:$D$101,MATCH($A541,'Préstamos'!$A$2:$A$101,0))-INDEX('Préstamos'!$J$2:$J$101,MATCH($A541,'Préstamos'!$A$2:$A$101,0))*(INDEX('Préstamos'!$G$2:$G$101,MATCH($A541,'Préstamos'!$A$2:$A$101,0))-1),INDEX('Préstamos'!$J$2:$J$101,MATCH($A541,'Préstamos'!$A$2:$A$101,0)))))</f>
        <v/>
      </c>
      <c r="G541" s="29">
        <f>IF($A541="","",IF(AND(D541&lt;&gt;"Solo interés",C541=INDEX('Préstamos'!$G$2:$G$101,MATCH($A541,'Préstamos'!$A$2:$A$101,0))),INDEX('Préstamos'!$I$2:$I$101,MATCH($A541,'Préstamos'!$A$2:$A$101,0))-INDEX('Préstamos'!$K$2:$K$101,MATCH($A541,'Préstamos'!$A$2:$A$101,0))*(INDEX('Préstamos'!$G$2:$G$101,MATCH($A541,'Préstamos'!$A$2:$A$101,0))-1),INDEX('Préstamos'!$K$2:$K$101,MATCH($A541,'Préstamos'!$A$2:$A$101,0))))</f>
        <v/>
      </c>
      <c r="H541" s="29">
        <f>IF($A541="","",F541+G541)</f>
        <v/>
      </c>
      <c r="I541" s="14" t="n"/>
      <c r="J541" s="33" t="n"/>
      <c r="K541" s="16">
        <f>IF(OR($A541="",I541="Pagado"),"",MAX(0,TODAY()-E541))</f>
        <v/>
      </c>
      <c r="L541" s="16">
        <f>IF($A541="","",IF(I541="Pagado","Pagado",IF(E541&lt;TODAY(),"Atrasado",IF(E541&lt;=EOMONTH(TODAY(),0),"Este mes","Pendiente"))))</f>
        <v/>
      </c>
      <c r="M541" s="20">
        <f>IF(OR($A541="",I541="Pagado"),"",HYPERLINK("https://wa.me/"&amp;IF(INDEX('Préstamos'!$C$2:$C$101,MATCH($A541,'Préstamos'!$A$2:$A$101,0))="","","51"&amp;SUBSTITUTE(INDEX('Préstamos'!$C$2:$C$101,MATCH($A541,'Préstamos'!$A$2:$A$101,0))," ",""))&amp;"?text="&amp;SUBSTITUTE("Hola "&amp;B541&amp;", te recuerdo que tu cuota de S/ "&amp;H541&amp;IF(E541&lt;TODAY()," vencio el "," vence el ")&amp;TEXT(E541,"dd/mm")&amp;". Gracias!"," ","%20"),"WhatsApp"))</f>
        <v/>
      </c>
    </row>
    <row r="542">
      <c r="A542" s="14" t="n"/>
      <c r="B542" s="16">
        <f>IF($A542="","",INDEX('Préstamos'!$B$2:$B$101,MATCH($A542,'Préstamos'!$A$2:$A$101,0)))</f>
        <v/>
      </c>
      <c r="C542" s="14" t="n"/>
      <c r="D542" s="14" t="n"/>
      <c r="E542" s="33" t="n"/>
      <c r="F542" s="29">
        <f>IF($A542="","",IF(D542="Solo interés",0,IF(AND(D542&lt;&gt;"Solo interés",C542=INDEX('Préstamos'!$G$2:$G$101,MATCH($A542,'Préstamos'!$A$2:$A$101,0))),INDEX('Préstamos'!$D$2:$D$101,MATCH($A542,'Préstamos'!$A$2:$A$101,0))-INDEX('Préstamos'!$J$2:$J$101,MATCH($A542,'Préstamos'!$A$2:$A$101,0))*(INDEX('Préstamos'!$G$2:$G$101,MATCH($A542,'Préstamos'!$A$2:$A$101,0))-1),INDEX('Préstamos'!$J$2:$J$101,MATCH($A542,'Préstamos'!$A$2:$A$101,0)))))</f>
        <v/>
      </c>
      <c r="G542" s="29">
        <f>IF($A542="","",IF(AND(D542&lt;&gt;"Solo interés",C542=INDEX('Préstamos'!$G$2:$G$101,MATCH($A542,'Préstamos'!$A$2:$A$101,0))),INDEX('Préstamos'!$I$2:$I$101,MATCH($A542,'Préstamos'!$A$2:$A$101,0))-INDEX('Préstamos'!$K$2:$K$101,MATCH($A542,'Préstamos'!$A$2:$A$101,0))*(INDEX('Préstamos'!$G$2:$G$101,MATCH($A542,'Préstamos'!$A$2:$A$101,0))-1),INDEX('Préstamos'!$K$2:$K$101,MATCH($A542,'Préstamos'!$A$2:$A$101,0))))</f>
        <v/>
      </c>
      <c r="H542" s="29">
        <f>IF($A542="","",F542+G542)</f>
        <v/>
      </c>
      <c r="I542" s="14" t="n"/>
      <c r="J542" s="33" t="n"/>
      <c r="K542" s="16">
        <f>IF(OR($A542="",I542="Pagado"),"",MAX(0,TODAY()-E542))</f>
        <v/>
      </c>
      <c r="L542" s="16">
        <f>IF($A542="","",IF(I542="Pagado","Pagado",IF(E542&lt;TODAY(),"Atrasado",IF(E542&lt;=EOMONTH(TODAY(),0),"Este mes","Pendiente"))))</f>
        <v/>
      </c>
      <c r="M542" s="20">
        <f>IF(OR($A542="",I542="Pagado"),"",HYPERLINK("https://wa.me/"&amp;IF(INDEX('Préstamos'!$C$2:$C$101,MATCH($A542,'Préstamos'!$A$2:$A$101,0))="","","51"&amp;SUBSTITUTE(INDEX('Préstamos'!$C$2:$C$101,MATCH($A542,'Préstamos'!$A$2:$A$101,0))," ",""))&amp;"?text="&amp;SUBSTITUTE("Hola "&amp;B542&amp;", te recuerdo que tu cuota de S/ "&amp;H542&amp;IF(E542&lt;TODAY()," vencio el "," vence el ")&amp;TEXT(E542,"dd/mm")&amp;". Gracias!"," ","%20"),"WhatsApp"))</f>
        <v/>
      </c>
    </row>
    <row r="543">
      <c r="A543" s="14" t="n"/>
      <c r="B543" s="16">
        <f>IF($A543="","",INDEX('Préstamos'!$B$2:$B$101,MATCH($A543,'Préstamos'!$A$2:$A$101,0)))</f>
        <v/>
      </c>
      <c r="C543" s="14" t="n"/>
      <c r="D543" s="14" t="n"/>
      <c r="E543" s="33" t="n"/>
      <c r="F543" s="29">
        <f>IF($A543="","",IF(D543="Solo interés",0,IF(AND(D543&lt;&gt;"Solo interés",C543=INDEX('Préstamos'!$G$2:$G$101,MATCH($A543,'Préstamos'!$A$2:$A$101,0))),INDEX('Préstamos'!$D$2:$D$101,MATCH($A543,'Préstamos'!$A$2:$A$101,0))-INDEX('Préstamos'!$J$2:$J$101,MATCH($A543,'Préstamos'!$A$2:$A$101,0))*(INDEX('Préstamos'!$G$2:$G$101,MATCH($A543,'Préstamos'!$A$2:$A$101,0))-1),INDEX('Préstamos'!$J$2:$J$101,MATCH($A543,'Préstamos'!$A$2:$A$101,0)))))</f>
        <v/>
      </c>
      <c r="G543" s="29">
        <f>IF($A543="","",IF(AND(D543&lt;&gt;"Solo interés",C543=INDEX('Préstamos'!$G$2:$G$101,MATCH($A543,'Préstamos'!$A$2:$A$101,0))),INDEX('Préstamos'!$I$2:$I$101,MATCH($A543,'Préstamos'!$A$2:$A$101,0))-INDEX('Préstamos'!$K$2:$K$101,MATCH($A543,'Préstamos'!$A$2:$A$101,0))*(INDEX('Préstamos'!$G$2:$G$101,MATCH($A543,'Préstamos'!$A$2:$A$101,0))-1),INDEX('Préstamos'!$K$2:$K$101,MATCH($A543,'Préstamos'!$A$2:$A$101,0))))</f>
        <v/>
      </c>
      <c r="H543" s="29">
        <f>IF($A543="","",F543+G543)</f>
        <v/>
      </c>
      <c r="I543" s="14" t="n"/>
      <c r="J543" s="33" t="n"/>
      <c r="K543" s="16">
        <f>IF(OR($A543="",I543="Pagado"),"",MAX(0,TODAY()-E543))</f>
        <v/>
      </c>
      <c r="L543" s="16">
        <f>IF($A543="","",IF(I543="Pagado","Pagado",IF(E543&lt;TODAY(),"Atrasado",IF(E543&lt;=EOMONTH(TODAY(),0),"Este mes","Pendiente"))))</f>
        <v/>
      </c>
      <c r="M543" s="20">
        <f>IF(OR($A543="",I543="Pagado"),"",HYPERLINK("https://wa.me/"&amp;IF(INDEX('Préstamos'!$C$2:$C$101,MATCH($A543,'Préstamos'!$A$2:$A$101,0))="","","51"&amp;SUBSTITUTE(INDEX('Préstamos'!$C$2:$C$101,MATCH($A543,'Préstamos'!$A$2:$A$101,0))," ",""))&amp;"?text="&amp;SUBSTITUTE("Hola "&amp;B543&amp;", te recuerdo que tu cuota de S/ "&amp;H543&amp;IF(E543&lt;TODAY()," vencio el "," vence el ")&amp;TEXT(E543,"dd/mm")&amp;". Gracias!"," ","%20"),"WhatsApp"))</f>
        <v/>
      </c>
    </row>
    <row r="544">
      <c r="A544" s="14" t="n"/>
      <c r="B544" s="16">
        <f>IF($A544="","",INDEX('Préstamos'!$B$2:$B$101,MATCH($A544,'Préstamos'!$A$2:$A$101,0)))</f>
        <v/>
      </c>
      <c r="C544" s="14" t="n"/>
      <c r="D544" s="14" t="n"/>
      <c r="E544" s="33" t="n"/>
      <c r="F544" s="29">
        <f>IF($A544="","",IF(D544="Solo interés",0,IF(AND(D544&lt;&gt;"Solo interés",C544=INDEX('Préstamos'!$G$2:$G$101,MATCH($A544,'Préstamos'!$A$2:$A$101,0))),INDEX('Préstamos'!$D$2:$D$101,MATCH($A544,'Préstamos'!$A$2:$A$101,0))-INDEX('Préstamos'!$J$2:$J$101,MATCH($A544,'Préstamos'!$A$2:$A$101,0))*(INDEX('Préstamos'!$G$2:$G$101,MATCH($A544,'Préstamos'!$A$2:$A$101,0))-1),INDEX('Préstamos'!$J$2:$J$101,MATCH($A544,'Préstamos'!$A$2:$A$101,0)))))</f>
        <v/>
      </c>
      <c r="G544" s="29">
        <f>IF($A544="","",IF(AND(D544&lt;&gt;"Solo interés",C544=INDEX('Préstamos'!$G$2:$G$101,MATCH($A544,'Préstamos'!$A$2:$A$101,0))),INDEX('Préstamos'!$I$2:$I$101,MATCH($A544,'Préstamos'!$A$2:$A$101,0))-INDEX('Préstamos'!$K$2:$K$101,MATCH($A544,'Préstamos'!$A$2:$A$101,0))*(INDEX('Préstamos'!$G$2:$G$101,MATCH($A544,'Préstamos'!$A$2:$A$101,0))-1),INDEX('Préstamos'!$K$2:$K$101,MATCH($A544,'Préstamos'!$A$2:$A$101,0))))</f>
        <v/>
      </c>
      <c r="H544" s="29">
        <f>IF($A544="","",F544+G544)</f>
        <v/>
      </c>
      <c r="I544" s="14" t="n"/>
      <c r="J544" s="33" t="n"/>
      <c r="K544" s="16">
        <f>IF(OR($A544="",I544="Pagado"),"",MAX(0,TODAY()-E544))</f>
        <v/>
      </c>
      <c r="L544" s="16">
        <f>IF($A544="","",IF(I544="Pagado","Pagado",IF(E544&lt;TODAY(),"Atrasado",IF(E544&lt;=EOMONTH(TODAY(),0),"Este mes","Pendiente"))))</f>
        <v/>
      </c>
      <c r="M544" s="20">
        <f>IF(OR($A544="",I544="Pagado"),"",HYPERLINK("https://wa.me/"&amp;IF(INDEX('Préstamos'!$C$2:$C$101,MATCH($A544,'Préstamos'!$A$2:$A$101,0))="","","51"&amp;SUBSTITUTE(INDEX('Préstamos'!$C$2:$C$101,MATCH($A544,'Préstamos'!$A$2:$A$101,0))," ",""))&amp;"?text="&amp;SUBSTITUTE("Hola "&amp;B544&amp;", te recuerdo que tu cuota de S/ "&amp;H544&amp;IF(E544&lt;TODAY()," vencio el "," vence el ")&amp;TEXT(E544,"dd/mm")&amp;". Gracias!"," ","%20"),"WhatsApp"))</f>
        <v/>
      </c>
    </row>
    <row r="545">
      <c r="A545" s="14" t="n"/>
      <c r="B545" s="16">
        <f>IF($A545="","",INDEX('Préstamos'!$B$2:$B$101,MATCH($A545,'Préstamos'!$A$2:$A$101,0)))</f>
        <v/>
      </c>
      <c r="C545" s="14" t="n"/>
      <c r="D545" s="14" t="n"/>
      <c r="E545" s="33" t="n"/>
      <c r="F545" s="29">
        <f>IF($A545="","",IF(D545="Solo interés",0,IF(AND(D545&lt;&gt;"Solo interés",C545=INDEX('Préstamos'!$G$2:$G$101,MATCH($A545,'Préstamos'!$A$2:$A$101,0))),INDEX('Préstamos'!$D$2:$D$101,MATCH($A545,'Préstamos'!$A$2:$A$101,0))-INDEX('Préstamos'!$J$2:$J$101,MATCH($A545,'Préstamos'!$A$2:$A$101,0))*(INDEX('Préstamos'!$G$2:$G$101,MATCH($A545,'Préstamos'!$A$2:$A$101,0))-1),INDEX('Préstamos'!$J$2:$J$101,MATCH($A545,'Préstamos'!$A$2:$A$101,0)))))</f>
        <v/>
      </c>
      <c r="G545" s="29">
        <f>IF($A545="","",IF(AND(D545&lt;&gt;"Solo interés",C545=INDEX('Préstamos'!$G$2:$G$101,MATCH($A545,'Préstamos'!$A$2:$A$101,0))),INDEX('Préstamos'!$I$2:$I$101,MATCH($A545,'Préstamos'!$A$2:$A$101,0))-INDEX('Préstamos'!$K$2:$K$101,MATCH($A545,'Préstamos'!$A$2:$A$101,0))*(INDEX('Préstamos'!$G$2:$G$101,MATCH($A545,'Préstamos'!$A$2:$A$101,0))-1),INDEX('Préstamos'!$K$2:$K$101,MATCH($A545,'Préstamos'!$A$2:$A$101,0))))</f>
        <v/>
      </c>
      <c r="H545" s="29">
        <f>IF($A545="","",F545+G545)</f>
        <v/>
      </c>
      <c r="I545" s="14" t="n"/>
      <c r="J545" s="33" t="n"/>
      <c r="K545" s="16">
        <f>IF(OR($A545="",I545="Pagado"),"",MAX(0,TODAY()-E545))</f>
        <v/>
      </c>
      <c r="L545" s="16">
        <f>IF($A545="","",IF(I545="Pagado","Pagado",IF(E545&lt;TODAY(),"Atrasado",IF(E545&lt;=EOMONTH(TODAY(),0),"Este mes","Pendiente"))))</f>
        <v/>
      </c>
      <c r="M545" s="20">
        <f>IF(OR($A545="",I545="Pagado"),"",HYPERLINK("https://wa.me/"&amp;IF(INDEX('Préstamos'!$C$2:$C$101,MATCH($A545,'Préstamos'!$A$2:$A$101,0))="","","51"&amp;SUBSTITUTE(INDEX('Préstamos'!$C$2:$C$101,MATCH($A545,'Préstamos'!$A$2:$A$101,0))," ",""))&amp;"?text="&amp;SUBSTITUTE("Hola "&amp;B545&amp;", te recuerdo que tu cuota de S/ "&amp;H545&amp;IF(E545&lt;TODAY()," vencio el "," vence el ")&amp;TEXT(E545,"dd/mm")&amp;". Gracias!"," ","%20"),"WhatsApp"))</f>
        <v/>
      </c>
    </row>
    <row r="546">
      <c r="A546" s="14" t="n"/>
      <c r="B546" s="16">
        <f>IF($A546="","",INDEX('Préstamos'!$B$2:$B$101,MATCH($A546,'Préstamos'!$A$2:$A$101,0)))</f>
        <v/>
      </c>
      <c r="C546" s="14" t="n"/>
      <c r="D546" s="14" t="n"/>
      <c r="E546" s="33" t="n"/>
      <c r="F546" s="29">
        <f>IF($A546="","",IF(D546="Solo interés",0,IF(AND(D546&lt;&gt;"Solo interés",C546=INDEX('Préstamos'!$G$2:$G$101,MATCH($A546,'Préstamos'!$A$2:$A$101,0))),INDEX('Préstamos'!$D$2:$D$101,MATCH($A546,'Préstamos'!$A$2:$A$101,0))-INDEX('Préstamos'!$J$2:$J$101,MATCH($A546,'Préstamos'!$A$2:$A$101,0))*(INDEX('Préstamos'!$G$2:$G$101,MATCH($A546,'Préstamos'!$A$2:$A$101,0))-1),INDEX('Préstamos'!$J$2:$J$101,MATCH($A546,'Préstamos'!$A$2:$A$101,0)))))</f>
        <v/>
      </c>
      <c r="G546" s="29">
        <f>IF($A546="","",IF(AND(D546&lt;&gt;"Solo interés",C546=INDEX('Préstamos'!$G$2:$G$101,MATCH($A546,'Préstamos'!$A$2:$A$101,0))),INDEX('Préstamos'!$I$2:$I$101,MATCH($A546,'Préstamos'!$A$2:$A$101,0))-INDEX('Préstamos'!$K$2:$K$101,MATCH($A546,'Préstamos'!$A$2:$A$101,0))*(INDEX('Préstamos'!$G$2:$G$101,MATCH($A546,'Préstamos'!$A$2:$A$101,0))-1),INDEX('Préstamos'!$K$2:$K$101,MATCH($A546,'Préstamos'!$A$2:$A$101,0))))</f>
        <v/>
      </c>
      <c r="H546" s="29">
        <f>IF($A546="","",F546+G546)</f>
        <v/>
      </c>
      <c r="I546" s="14" t="n"/>
      <c r="J546" s="33" t="n"/>
      <c r="K546" s="16">
        <f>IF(OR($A546="",I546="Pagado"),"",MAX(0,TODAY()-E546))</f>
        <v/>
      </c>
      <c r="L546" s="16">
        <f>IF($A546="","",IF(I546="Pagado","Pagado",IF(E546&lt;TODAY(),"Atrasado",IF(E546&lt;=EOMONTH(TODAY(),0),"Este mes","Pendiente"))))</f>
        <v/>
      </c>
      <c r="M546" s="20">
        <f>IF(OR($A546="",I546="Pagado"),"",HYPERLINK("https://wa.me/"&amp;IF(INDEX('Préstamos'!$C$2:$C$101,MATCH($A546,'Préstamos'!$A$2:$A$101,0))="","","51"&amp;SUBSTITUTE(INDEX('Préstamos'!$C$2:$C$101,MATCH($A546,'Préstamos'!$A$2:$A$101,0))," ",""))&amp;"?text="&amp;SUBSTITUTE("Hola "&amp;B546&amp;", te recuerdo que tu cuota de S/ "&amp;H546&amp;IF(E546&lt;TODAY()," vencio el "," vence el ")&amp;TEXT(E546,"dd/mm")&amp;". Gracias!"," ","%20"),"WhatsApp"))</f>
        <v/>
      </c>
    </row>
    <row r="547">
      <c r="A547" s="14" t="n"/>
      <c r="B547" s="16">
        <f>IF($A547="","",INDEX('Préstamos'!$B$2:$B$101,MATCH($A547,'Préstamos'!$A$2:$A$101,0)))</f>
        <v/>
      </c>
      <c r="C547" s="14" t="n"/>
      <c r="D547" s="14" t="n"/>
      <c r="E547" s="33" t="n"/>
      <c r="F547" s="29">
        <f>IF($A547="","",IF(D547="Solo interés",0,IF(AND(D547&lt;&gt;"Solo interés",C547=INDEX('Préstamos'!$G$2:$G$101,MATCH($A547,'Préstamos'!$A$2:$A$101,0))),INDEX('Préstamos'!$D$2:$D$101,MATCH($A547,'Préstamos'!$A$2:$A$101,0))-INDEX('Préstamos'!$J$2:$J$101,MATCH($A547,'Préstamos'!$A$2:$A$101,0))*(INDEX('Préstamos'!$G$2:$G$101,MATCH($A547,'Préstamos'!$A$2:$A$101,0))-1),INDEX('Préstamos'!$J$2:$J$101,MATCH($A547,'Préstamos'!$A$2:$A$101,0)))))</f>
        <v/>
      </c>
      <c r="G547" s="29">
        <f>IF($A547="","",IF(AND(D547&lt;&gt;"Solo interés",C547=INDEX('Préstamos'!$G$2:$G$101,MATCH($A547,'Préstamos'!$A$2:$A$101,0))),INDEX('Préstamos'!$I$2:$I$101,MATCH($A547,'Préstamos'!$A$2:$A$101,0))-INDEX('Préstamos'!$K$2:$K$101,MATCH($A547,'Préstamos'!$A$2:$A$101,0))*(INDEX('Préstamos'!$G$2:$G$101,MATCH($A547,'Préstamos'!$A$2:$A$101,0))-1),INDEX('Préstamos'!$K$2:$K$101,MATCH($A547,'Préstamos'!$A$2:$A$101,0))))</f>
        <v/>
      </c>
      <c r="H547" s="29">
        <f>IF($A547="","",F547+G547)</f>
        <v/>
      </c>
      <c r="I547" s="14" t="n"/>
      <c r="J547" s="33" t="n"/>
      <c r="K547" s="16">
        <f>IF(OR($A547="",I547="Pagado"),"",MAX(0,TODAY()-E547))</f>
        <v/>
      </c>
      <c r="L547" s="16">
        <f>IF($A547="","",IF(I547="Pagado","Pagado",IF(E547&lt;TODAY(),"Atrasado",IF(E547&lt;=EOMONTH(TODAY(),0),"Este mes","Pendiente"))))</f>
        <v/>
      </c>
      <c r="M547" s="20">
        <f>IF(OR($A547="",I547="Pagado"),"",HYPERLINK("https://wa.me/"&amp;IF(INDEX('Préstamos'!$C$2:$C$101,MATCH($A547,'Préstamos'!$A$2:$A$101,0))="","","51"&amp;SUBSTITUTE(INDEX('Préstamos'!$C$2:$C$101,MATCH($A547,'Préstamos'!$A$2:$A$101,0))," ",""))&amp;"?text="&amp;SUBSTITUTE("Hola "&amp;B547&amp;", te recuerdo que tu cuota de S/ "&amp;H547&amp;IF(E547&lt;TODAY()," vencio el "," vence el ")&amp;TEXT(E547,"dd/mm")&amp;". Gracias!"," ","%20"),"WhatsApp"))</f>
        <v/>
      </c>
    </row>
    <row r="548">
      <c r="A548" s="14" t="n"/>
      <c r="B548" s="16">
        <f>IF($A548="","",INDEX('Préstamos'!$B$2:$B$101,MATCH($A548,'Préstamos'!$A$2:$A$101,0)))</f>
        <v/>
      </c>
      <c r="C548" s="14" t="n"/>
      <c r="D548" s="14" t="n"/>
      <c r="E548" s="33" t="n"/>
      <c r="F548" s="29">
        <f>IF($A548="","",IF(D548="Solo interés",0,IF(AND(D548&lt;&gt;"Solo interés",C548=INDEX('Préstamos'!$G$2:$G$101,MATCH($A548,'Préstamos'!$A$2:$A$101,0))),INDEX('Préstamos'!$D$2:$D$101,MATCH($A548,'Préstamos'!$A$2:$A$101,0))-INDEX('Préstamos'!$J$2:$J$101,MATCH($A548,'Préstamos'!$A$2:$A$101,0))*(INDEX('Préstamos'!$G$2:$G$101,MATCH($A548,'Préstamos'!$A$2:$A$101,0))-1),INDEX('Préstamos'!$J$2:$J$101,MATCH($A548,'Préstamos'!$A$2:$A$101,0)))))</f>
        <v/>
      </c>
      <c r="G548" s="29">
        <f>IF($A548="","",IF(AND(D548&lt;&gt;"Solo interés",C548=INDEX('Préstamos'!$G$2:$G$101,MATCH($A548,'Préstamos'!$A$2:$A$101,0))),INDEX('Préstamos'!$I$2:$I$101,MATCH($A548,'Préstamos'!$A$2:$A$101,0))-INDEX('Préstamos'!$K$2:$K$101,MATCH($A548,'Préstamos'!$A$2:$A$101,0))*(INDEX('Préstamos'!$G$2:$G$101,MATCH($A548,'Préstamos'!$A$2:$A$101,0))-1),INDEX('Préstamos'!$K$2:$K$101,MATCH($A548,'Préstamos'!$A$2:$A$101,0))))</f>
        <v/>
      </c>
      <c r="H548" s="29">
        <f>IF($A548="","",F548+G548)</f>
        <v/>
      </c>
      <c r="I548" s="14" t="n"/>
      <c r="J548" s="33" t="n"/>
      <c r="K548" s="16">
        <f>IF(OR($A548="",I548="Pagado"),"",MAX(0,TODAY()-E548))</f>
        <v/>
      </c>
      <c r="L548" s="16">
        <f>IF($A548="","",IF(I548="Pagado","Pagado",IF(E548&lt;TODAY(),"Atrasado",IF(E548&lt;=EOMONTH(TODAY(),0),"Este mes","Pendiente"))))</f>
        <v/>
      </c>
      <c r="M548" s="20">
        <f>IF(OR($A548="",I548="Pagado"),"",HYPERLINK("https://wa.me/"&amp;IF(INDEX('Préstamos'!$C$2:$C$101,MATCH($A548,'Préstamos'!$A$2:$A$101,0))="","","51"&amp;SUBSTITUTE(INDEX('Préstamos'!$C$2:$C$101,MATCH($A548,'Préstamos'!$A$2:$A$101,0))," ",""))&amp;"?text="&amp;SUBSTITUTE("Hola "&amp;B548&amp;", te recuerdo que tu cuota de S/ "&amp;H548&amp;IF(E548&lt;TODAY()," vencio el "," vence el ")&amp;TEXT(E548,"dd/mm")&amp;". Gracias!"," ","%20"),"WhatsApp"))</f>
        <v/>
      </c>
    </row>
    <row r="549">
      <c r="A549" s="14" t="n"/>
      <c r="B549" s="16">
        <f>IF($A549="","",INDEX('Préstamos'!$B$2:$B$101,MATCH($A549,'Préstamos'!$A$2:$A$101,0)))</f>
        <v/>
      </c>
      <c r="C549" s="14" t="n"/>
      <c r="D549" s="14" t="n"/>
      <c r="E549" s="33" t="n"/>
      <c r="F549" s="29">
        <f>IF($A549="","",IF(D549="Solo interés",0,IF(AND(D549&lt;&gt;"Solo interés",C549=INDEX('Préstamos'!$G$2:$G$101,MATCH($A549,'Préstamos'!$A$2:$A$101,0))),INDEX('Préstamos'!$D$2:$D$101,MATCH($A549,'Préstamos'!$A$2:$A$101,0))-INDEX('Préstamos'!$J$2:$J$101,MATCH($A549,'Préstamos'!$A$2:$A$101,0))*(INDEX('Préstamos'!$G$2:$G$101,MATCH($A549,'Préstamos'!$A$2:$A$101,0))-1),INDEX('Préstamos'!$J$2:$J$101,MATCH($A549,'Préstamos'!$A$2:$A$101,0)))))</f>
        <v/>
      </c>
      <c r="G549" s="29">
        <f>IF($A549="","",IF(AND(D549&lt;&gt;"Solo interés",C549=INDEX('Préstamos'!$G$2:$G$101,MATCH($A549,'Préstamos'!$A$2:$A$101,0))),INDEX('Préstamos'!$I$2:$I$101,MATCH($A549,'Préstamos'!$A$2:$A$101,0))-INDEX('Préstamos'!$K$2:$K$101,MATCH($A549,'Préstamos'!$A$2:$A$101,0))*(INDEX('Préstamos'!$G$2:$G$101,MATCH($A549,'Préstamos'!$A$2:$A$101,0))-1),INDEX('Préstamos'!$K$2:$K$101,MATCH($A549,'Préstamos'!$A$2:$A$101,0))))</f>
        <v/>
      </c>
      <c r="H549" s="29">
        <f>IF($A549="","",F549+G549)</f>
        <v/>
      </c>
      <c r="I549" s="14" t="n"/>
      <c r="J549" s="33" t="n"/>
      <c r="K549" s="16">
        <f>IF(OR($A549="",I549="Pagado"),"",MAX(0,TODAY()-E549))</f>
        <v/>
      </c>
      <c r="L549" s="16">
        <f>IF($A549="","",IF(I549="Pagado","Pagado",IF(E549&lt;TODAY(),"Atrasado",IF(E549&lt;=EOMONTH(TODAY(),0),"Este mes","Pendiente"))))</f>
        <v/>
      </c>
      <c r="M549" s="20">
        <f>IF(OR($A549="",I549="Pagado"),"",HYPERLINK("https://wa.me/"&amp;IF(INDEX('Préstamos'!$C$2:$C$101,MATCH($A549,'Préstamos'!$A$2:$A$101,0))="","","51"&amp;SUBSTITUTE(INDEX('Préstamos'!$C$2:$C$101,MATCH($A549,'Préstamos'!$A$2:$A$101,0))," ",""))&amp;"?text="&amp;SUBSTITUTE("Hola "&amp;B549&amp;", te recuerdo que tu cuota de S/ "&amp;H549&amp;IF(E549&lt;TODAY()," vencio el "," vence el ")&amp;TEXT(E549,"dd/mm")&amp;". Gracias!"," ","%20"),"WhatsApp"))</f>
        <v/>
      </c>
    </row>
    <row r="550">
      <c r="A550" s="14" t="n"/>
      <c r="B550" s="16">
        <f>IF($A550="","",INDEX('Préstamos'!$B$2:$B$101,MATCH($A550,'Préstamos'!$A$2:$A$101,0)))</f>
        <v/>
      </c>
      <c r="C550" s="14" t="n"/>
      <c r="D550" s="14" t="n"/>
      <c r="E550" s="33" t="n"/>
      <c r="F550" s="29">
        <f>IF($A550="","",IF(D550="Solo interés",0,IF(AND(D550&lt;&gt;"Solo interés",C550=INDEX('Préstamos'!$G$2:$G$101,MATCH($A550,'Préstamos'!$A$2:$A$101,0))),INDEX('Préstamos'!$D$2:$D$101,MATCH($A550,'Préstamos'!$A$2:$A$101,0))-INDEX('Préstamos'!$J$2:$J$101,MATCH($A550,'Préstamos'!$A$2:$A$101,0))*(INDEX('Préstamos'!$G$2:$G$101,MATCH($A550,'Préstamos'!$A$2:$A$101,0))-1),INDEX('Préstamos'!$J$2:$J$101,MATCH($A550,'Préstamos'!$A$2:$A$101,0)))))</f>
        <v/>
      </c>
      <c r="G550" s="29">
        <f>IF($A550="","",IF(AND(D550&lt;&gt;"Solo interés",C550=INDEX('Préstamos'!$G$2:$G$101,MATCH($A550,'Préstamos'!$A$2:$A$101,0))),INDEX('Préstamos'!$I$2:$I$101,MATCH($A550,'Préstamos'!$A$2:$A$101,0))-INDEX('Préstamos'!$K$2:$K$101,MATCH($A550,'Préstamos'!$A$2:$A$101,0))*(INDEX('Préstamos'!$G$2:$G$101,MATCH($A550,'Préstamos'!$A$2:$A$101,0))-1),INDEX('Préstamos'!$K$2:$K$101,MATCH($A550,'Préstamos'!$A$2:$A$101,0))))</f>
        <v/>
      </c>
      <c r="H550" s="29">
        <f>IF($A550="","",F550+G550)</f>
        <v/>
      </c>
      <c r="I550" s="14" t="n"/>
      <c r="J550" s="33" t="n"/>
      <c r="K550" s="16">
        <f>IF(OR($A550="",I550="Pagado"),"",MAX(0,TODAY()-E550))</f>
        <v/>
      </c>
      <c r="L550" s="16">
        <f>IF($A550="","",IF(I550="Pagado","Pagado",IF(E550&lt;TODAY(),"Atrasado",IF(E550&lt;=EOMONTH(TODAY(),0),"Este mes","Pendiente"))))</f>
        <v/>
      </c>
      <c r="M550" s="20">
        <f>IF(OR($A550="",I550="Pagado"),"",HYPERLINK("https://wa.me/"&amp;IF(INDEX('Préstamos'!$C$2:$C$101,MATCH($A550,'Préstamos'!$A$2:$A$101,0))="","","51"&amp;SUBSTITUTE(INDEX('Préstamos'!$C$2:$C$101,MATCH($A550,'Préstamos'!$A$2:$A$101,0))," ",""))&amp;"?text="&amp;SUBSTITUTE("Hola "&amp;B550&amp;", te recuerdo que tu cuota de S/ "&amp;H550&amp;IF(E550&lt;TODAY()," vencio el "," vence el ")&amp;TEXT(E550,"dd/mm")&amp;". Gracias!"," ","%20"),"WhatsApp"))</f>
        <v/>
      </c>
    </row>
    <row r="551">
      <c r="A551" s="14" t="n"/>
      <c r="B551" s="16">
        <f>IF($A551="","",INDEX('Préstamos'!$B$2:$B$101,MATCH($A551,'Préstamos'!$A$2:$A$101,0)))</f>
        <v/>
      </c>
      <c r="C551" s="14" t="n"/>
      <c r="D551" s="14" t="n"/>
      <c r="E551" s="33" t="n"/>
      <c r="F551" s="29">
        <f>IF($A551="","",IF(D551="Solo interés",0,IF(AND(D551&lt;&gt;"Solo interés",C551=INDEX('Préstamos'!$G$2:$G$101,MATCH($A551,'Préstamos'!$A$2:$A$101,0))),INDEX('Préstamos'!$D$2:$D$101,MATCH($A551,'Préstamos'!$A$2:$A$101,0))-INDEX('Préstamos'!$J$2:$J$101,MATCH($A551,'Préstamos'!$A$2:$A$101,0))*(INDEX('Préstamos'!$G$2:$G$101,MATCH($A551,'Préstamos'!$A$2:$A$101,0))-1),INDEX('Préstamos'!$J$2:$J$101,MATCH($A551,'Préstamos'!$A$2:$A$101,0)))))</f>
        <v/>
      </c>
      <c r="G551" s="29">
        <f>IF($A551="","",IF(AND(D551&lt;&gt;"Solo interés",C551=INDEX('Préstamos'!$G$2:$G$101,MATCH($A551,'Préstamos'!$A$2:$A$101,0))),INDEX('Préstamos'!$I$2:$I$101,MATCH($A551,'Préstamos'!$A$2:$A$101,0))-INDEX('Préstamos'!$K$2:$K$101,MATCH($A551,'Préstamos'!$A$2:$A$101,0))*(INDEX('Préstamos'!$G$2:$G$101,MATCH($A551,'Préstamos'!$A$2:$A$101,0))-1),INDEX('Préstamos'!$K$2:$K$101,MATCH($A551,'Préstamos'!$A$2:$A$101,0))))</f>
        <v/>
      </c>
      <c r="H551" s="29">
        <f>IF($A551="","",F551+G551)</f>
        <v/>
      </c>
      <c r="I551" s="14" t="n"/>
      <c r="J551" s="33" t="n"/>
      <c r="K551" s="16">
        <f>IF(OR($A551="",I551="Pagado"),"",MAX(0,TODAY()-E551))</f>
        <v/>
      </c>
      <c r="L551" s="16">
        <f>IF($A551="","",IF(I551="Pagado","Pagado",IF(E551&lt;TODAY(),"Atrasado",IF(E551&lt;=EOMONTH(TODAY(),0),"Este mes","Pendiente"))))</f>
        <v/>
      </c>
      <c r="M551" s="20">
        <f>IF(OR($A551="",I551="Pagado"),"",HYPERLINK("https://wa.me/"&amp;IF(INDEX('Préstamos'!$C$2:$C$101,MATCH($A551,'Préstamos'!$A$2:$A$101,0))="","","51"&amp;SUBSTITUTE(INDEX('Préstamos'!$C$2:$C$101,MATCH($A551,'Préstamos'!$A$2:$A$101,0))," ",""))&amp;"?text="&amp;SUBSTITUTE("Hola "&amp;B551&amp;", te recuerdo que tu cuota de S/ "&amp;H551&amp;IF(E551&lt;TODAY()," vencio el "," vence el ")&amp;TEXT(E551,"dd/mm")&amp;". Gracias!"," ","%20"),"WhatsApp"))</f>
        <v/>
      </c>
    </row>
    <row r="552">
      <c r="A552" s="14" t="n"/>
      <c r="B552" s="16">
        <f>IF($A552="","",INDEX('Préstamos'!$B$2:$B$101,MATCH($A552,'Préstamos'!$A$2:$A$101,0)))</f>
        <v/>
      </c>
      <c r="C552" s="14" t="n"/>
      <c r="D552" s="14" t="n"/>
      <c r="E552" s="33" t="n"/>
      <c r="F552" s="29">
        <f>IF($A552="","",IF(D552="Solo interés",0,IF(AND(D552&lt;&gt;"Solo interés",C552=INDEX('Préstamos'!$G$2:$G$101,MATCH($A552,'Préstamos'!$A$2:$A$101,0))),INDEX('Préstamos'!$D$2:$D$101,MATCH($A552,'Préstamos'!$A$2:$A$101,0))-INDEX('Préstamos'!$J$2:$J$101,MATCH($A552,'Préstamos'!$A$2:$A$101,0))*(INDEX('Préstamos'!$G$2:$G$101,MATCH($A552,'Préstamos'!$A$2:$A$101,0))-1),INDEX('Préstamos'!$J$2:$J$101,MATCH($A552,'Préstamos'!$A$2:$A$101,0)))))</f>
        <v/>
      </c>
      <c r="G552" s="29">
        <f>IF($A552="","",IF(AND(D552&lt;&gt;"Solo interés",C552=INDEX('Préstamos'!$G$2:$G$101,MATCH($A552,'Préstamos'!$A$2:$A$101,0))),INDEX('Préstamos'!$I$2:$I$101,MATCH($A552,'Préstamos'!$A$2:$A$101,0))-INDEX('Préstamos'!$K$2:$K$101,MATCH($A552,'Préstamos'!$A$2:$A$101,0))*(INDEX('Préstamos'!$G$2:$G$101,MATCH($A552,'Préstamos'!$A$2:$A$101,0))-1),INDEX('Préstamos'!$K$2:$K$101,MATCH($A552,'Préstamos'!$A$2:$A$101,0))))</f>
        <v/>
      </c>
      <c r="H552" s="29">
        <f>IF($A552="","",F552+G552)</f>
        <v/>
      </c>
      <c r="I552" s="14" t="n"/>
      <c r="J552" s="33" t="n"/>
      <c r="K552" s="16">
        <f>IF(OR($A552="",I552="Pagado"),"",MAX(0,TODAY()-E552))</f>
        <v/>
      </c>
      <c r="L552" s="16">
        <f>IF($A552="","",IF(I552="Pagado","Pagado",IF(E552&lt;TODAY(),"Atrasado",IF(E552&lt;=EOMONTH(TODAY(),0),"Este mes","Pendiente"))))</f>
        <v/>
      </c>
      <c r="M552" s="20">
        <f>IF(OR($A552="",I552="Pagado"),"",HYPERLINK("https://wa.me/"&amp;IF(INDEX('Préstamos'!$C$2:$C$101,MATCH($A552,'Préstamos'!$A$2:$A$101,0))="","","51"&amp;SUBSTITUTE(INDEX('Préstamos'!$C$2:$C$101,MATCH($A552,'Préstamos'!$A$2:$A$101,0))," ",""))&amp;"?text="&amp;SUBSTITUTE("Hola "&amp;B552&amp;", te recuerdo que tu cuota de S/ "&amp;H552&amp;IF(E552&lt;TODAY()," vencio el "," vence el ")&amp;TEXT(E552,"dd/mm")&amp;". Gracias!"," ","%20"),"WhatsApp"))</f>
        <v/>
      </c>
    </row>
    <row r="553">
      <c r="A553" s="14" t="n"/>
      <c r="B553" s="16">
        <f>IF($A553="","",INDEX('Préstamos'!$B$2:$B$101,MATCH($A553,'Préstamos'!$A$2:$A$101,0)))</f>
        <v/>
      </c>
      <c r="C553" s="14" t="n"/>
      <c r="D553" s="14" t="n"/>
      <c r="E553" s="33" t="n"/>
      <c r="F553" s="29">
        <f>IF($A553="","",IF(D553="Solo interés",0,IF(AND(D553&lt;&gt;"Solo interés",C553=INDEX('Préstamos'!$G$2:$G$101,MATCH($A553,'Préstamos'!$A$2:$A$101,0))),INDEX('Préstamos'!$D$2:$D$101,MATCH($A553,'Préstamos'!$A$2:$A$101,0))-INDEX('Préstamos'!$J$2:$J$101,MATCH($A553,'Préstamos'!$A$2:$A$101,0))*(INDEX('Préstamos'!$G$2:$G$101,MATCH($A553,'Préstamos'!$A$2:$A$101,0))-1),INDEX('Préstamos'!$J$2:$J$101,MATCH($A553,'Préstamos'!$A$2:$A$101,0)))))</f>
        <v/>
      </c>
      <c r="G553" s="29">
        <f>IF($A553="","",IF(AND(D553&lt;&gt;"Solo interés",C553=INDEX('Préstamos'!$G$2:$G$101,MATCH($A553,'Préstamos'!$A$2:$A$101,0))),INDEX('Préstamos'!$I$2:$I$101,MATCH($A553,'Préstamos'!$A$2:$A$101,0))-INDEX('Préstamos'!$K$2:$K$101,MATCH($A553,'Préstamos'!$A$2:$A$101,0))*(INDEX('Préstamos'!$G$2:$G$101,MATCH($A553,'Préstamos'!$A$2:$A$101,0))-1),INDEX('Préstamos'!$K$2:$K$101,MATCH($A553,'Préstamos'!$A$2:$A$101,0))))</f>
        <v/>
      </c>
      <c r="H553" s="29">
        <f>IF($A553="","",F553+G553)</f>
        <v/>
      </c>
      <c r="I553" s="14" t="n"/>
      <c r="J553" s="33" t="n"/>
      <c r="K553" s="16">
        <f>IF(OR($A553="",I553="Pagado"),"",MAX(0,TODAY()-E553))</f>
        <v/>
      </c>
      <c r="L553" s="16">
        <f>IF($A553="","",IF(I553="Pagado","Pagado",IF(E553&lt;TODAY(),"Atrasado",IF(E553&lt;=EOMONTH(TODAY(),0),"Este mes","Pendiente"))))</f>
        <v/>
      </c>
      <c r="M553" s="20">
        <f>IF(OR($A553="",I553="Pagado"),"",HYPERLINK("https://wa.me/"&amp;IF(INDEX('Préstamos'!$C$2:$C$101,MATCH($A553,'Préstamos'!$A$2:$A$101,0))="","","51"&amp;SUBSTITUTE(INDEX('Préstamos'!$C$2:$C$101,MATCH($A553,'Préstamos'!$A$2:$A$101,0))," ",""))&amp;"?text="&amp;SUBSTITUTE("Hola "&amp;B553&amp;", te recuerdo que tu cuota de S/ "&amp;H553&amp;IF(E553&lt;TODAY()," vencio el "," vence el ")&amp;TEXT(E553,"dd/mm")&amp;". Gracias!"," ","%20"),"WhatsApp"))</f>
        <v/>
      </c>
    </row>
    <row r="554">
      <c r="A554" s="14" t="n"/>
      <c r="B554" s="16">
        <f>IF($A554="","",INDEX('Préstamos'!$B$2:$B$101,MATCH($A554,'Préstamos'!$A$2:$A$101,0)))</f>
        <v/>
      </c>
      <c r="C554" s="14" t="n"/>
      <c r="D554" s="14" t="n"/>
      <c r="E554" s="33" t="n"/>
      <c r="F554" s="29">
        <f>IF($A554="","",IF(D554="Solo interés",0,IF(AND(D554&lt;&gt;"Solo interés",C554=INDEX('Préstamos'!$G$2:$G$101,MATCH($A554,'Préstamos'!$A$2:$A$101,0))),INDEX('Préstamos'!$D$2:$D$101,MATCH($A554,'Préstamos'!$A$2:$A$101,0))-INDEX('Préstamos'!$J$2:$J$101,MATCH($A554,'Préstamos'!$A$2:$A$101,0))*(INDEX('Préstamos'!$G$2:$G$101,MATCH($A554,'Préstamos'!$A$2:$A$101,0))-1),INDEX('Préstamos'!$J$2:$J$101,MATCH($A554,'Préstamos'!$A$2:$A$101,0)))))</f>
        <v/>
      </c>
      <c r="G554" s="29">
        <f>IF($A554="","",IF(AND(D554&lt;&gt;"Solo interés",C554=INDEX('Préstamos'!$G$2:$G$101,MATCH($A554,'Préstamos'!$A$2:$A$101,0))),INDEX('Préstamos'!$I$2:$I$101,MATCH($A554,'Préstamos'!$A$2:$A$101,0))-INDEX('Préstamos'!$K$2:$K$101,MATCH($A554,'Préstamos'!$A$2:$A$101,0))*(INDEX('Préstamos'!$G$2:$G$101,MATCH($A554,'Préstamos'!$A$2:$A$101,0))-1),INDEX('Préstamos'!$K$2:$K$101,MATCH($A554,'Préstamos'!$A$2:$A$101,0))))</f>
        <v/>
      </c>
      <c r="H554" s="29">
        <f>IF($A554="","",F554+G554)</f>
        <v/>
      </c>
      <c r="I554" s="14" t="n"/>
      <c r="J554" s="33" t="n"/>
      <c r="K554" s="16">
        <f>IF(OR($A554="",I554="Pagado"),"",MAX(0,TODAY()-E554))</f>
        <v/>
      </c>
      <c r="L554" s="16">
        <f>IF($A554="","",IF(I554="Pagado","Pagado",IF(E554&lt;TODAY(),"Atrasado",IF(E554&lt;=EOMONTH(TODAY(),0),"Este mes","Pendiente"))))</f>
        <v/>
      </c>
      <c r="M554" s="20">
        <f>IF(OR($A554="",I554="Pagado"),"",HYPERLINK("https://wa.me/"&amp;IF(INDEX('Préstamos'!$C$2:$C$101,MATCH($A554,'Préstamos'!$A$2:$A$101,0))="","","51"&amp;SUBSTITUTE(INDEX('Préstamos'!$C$2:$C$101,MATCH($A554,'Préstamos'!$A$2:$A$101,0))," ",""))&amp;"?text="&amp;SUBSTITUTE("Hola "&amp;B554&amp;", te recuerdo que tu cuota de S/ "&amp;H554&amp;IF(E554&lt;TODAY()," vencio el "," vence el ")&amp;TEXT(E554,"dd/mm")&amp;". Gracias!"," ","%20"),"WhatsApp"))</f>
        <v/>
      </c>
    </row>
    <row r="555">
      <c r="A555" s="14" t="n"/>
      <c r="B555" s="16">
        <f>IF($A555="","",INDEX('Préstamos'!$B$2:$B$101,MATCH($A555,'Préstamos'!$A$2:$A$101,0)))</f>
        <v/>
      </c>
      <c r="C555" s="14" t="n"/>
      <c r="D555" s="14" t="n"/>
      <c r="E555" s="33" t="n"/>
      <c r="F555" s="29">
        <f>IF($A555="","",IF(D555="Solo interés",0,IF(AND(D555&lt;&gt;"Solo interés",C555=INDEX('Préstamos'!$G$2:$G$101,MATCH($A555,'Préstamos'!$A$2:$A$101,0))),INDEX('Préstamos'!$D$2:$D$101,MATCH($A555,'Préstamos'!$A$2:$A$101,0))-INDEX('Préstamos'!$J$2:$J$101,MATCH($A555,'Préstamos'!$A$2:$A$101,0))*(INDEX('Préstamos'!$G$2:$G$101,MATCH($A555,'Préstamos'!$A$2:$A$101,0))-1),INDEX('Préstamos'!$J$2:$J$101,MATCH($A555,'Préstamos'!$A$2:$A$101,0)))))</f>
        <v/>
      </c>
      <c r="G555" s="29">
        <f>IF($A555="","",IF(AND(D555&lt;&gt;"Solo interés",C555=INDEX('Préstamos'!$G$2:$G$101,MATCH($A555,'Préstamos'!$A$2:$A$101,0))),INDEX('Préstamos'!$I$2:$I$101,MATCH($A555,'Préstamos'!$A$2:$A$101,0))-INDEX('Préstamos'!$K$2:$K$101,MATCH($A555,'Préstamos'!$A$2:$A$101,0))*(INDEX('Préstamos'!$G$2:$G$101,MATCH($A555,'Préstamos'!$A$2:$A$101,0))-1),INDEX('Préstamos'!$K$2:$K$101,MATCH($A555,'Préstamos'!$A$2:$A$101,0))))</f>
        <v/>
      </c>
      <c r="H555" s="29">
        <f>IF($A555="","",F555+G555)</f>
        <v/>
      </c>
      <c r="I555" s="14" t="n"/>
      <c r="J555" s="33" t="n"/>
      <c r="K555" s="16">
        <f>IF(OR($A555="",I555="Pagado"),"",MAX(0,TODAY()-E555))</f>
        <v/>
      </c>
      <c r="L555" s="16">
        <f>IF($A555="","",IF(I555="Pagado","Pagado",IF(E555&lt;TODAY(),"Atrasado",IF(E555&lt;=EOMONTH(TODAY(),0),"Este mes","Pendiente"))))</f>
        <v/>
      </c>
      <c r="M555" s="20">
        <f>IF(OR($A555="",I555="Pagado"),"",HYPERLINK("https://wa.me/"&amp;IF(INDEX('Préstamos'!$C$2:$C$101,MATCH($A555,'Préstamos'!$A$2:$A$101,0))="","","51"&amp;SUBSTITUTE(INDEX('Préstamos'!$C$2:$C$101,MATCH($A555,'Préstamos'!$A$2:$A$101,0))," ",""))&amp;"?text="&amp;SUBSTITUTE("Hola "&amp;B555&amp;", te recuerdo que tu cuota de S/ "&amp;H555&amp;IF(E555&lt;TODAY()," vencio el "," vence el ")&amp;TEXT(E555,"dd/mm")&amp;". Gracias!"," ","%20"),"WhatsApp"))</f>
        <v/>
      </c>
    </row>
    <row r="556">
      <c r="A556" s="14" t="n"/>
      <c r="B556" s="16">
        <f>IF($A556="","",INDEX('Préstamos'!$B$2:$B$101,MATCH($A556,'Préstamos'!$A$2:$A$101,0)))</f>
        <v/>
      </c>
      <c r="C556" s="14" t="n"/>
      <c r="D556" s="14" t="n"/>
      <c r="E556" s="33" t="n"/>
      <c r="F556" s="29">
        <f>IF($A556="","",IF(D556="Solo interés",0,IF(AND(D556&lt;&gt;"Solo interés",C556=INDEX('Préstamos'!$G$2:$G$101,MATCH($A556,'Préstamos'!$A$2:$A$101,0))),INDEX('Préstamos'!$D$2:$D$101,MATCH($A556,'Préstamos'!$A$2:$A$101,0))-INDEX('Préstamos'!$J$2:$J$101,MATCH($A556,'Préstamos'!$A$2:$A$101,0))*(INDEX('Préstamos'!$G$2:$G$101,MATCH($A556,'Préstamos'!$A$2:$A$101,0))-1),INDEX('Préstamos'!$J$2:$J$101,MATCH($A556,'Préstamos'!$A$2:$A$101,0)))))</f>
        <v/>
      </c>
      <c r="G556" s="29">
        <f>IF($A556="","",IF(AND(D556&lt;&gt;"Solo interés",C556=INDEX('Préstamos'!$G$2:$G$101,MATCH($A556,'Préstamos'!$A$2:$A$101,0))),INDEX('Préstamos'!$I$2:$I$101,MATCH($A556,'Préstamos'!$A$2:$A$101,0))-INDEX('Préstamos'!$K$2:$K$101,MATCH($A556,'Préstamos'!$A$2:$A$101,0))*(INDEX('Préstamos'!$G$2:$G$101,MATCH($A556,'Préstamos'!$A$2:$A$101,0))-1),INDEX('Préstamos'!$K$2:$K$101,MATCH($A556,'Préstamos'!$A$2:$A$101,0))))</f>
        <v/>
      </c>
      <c r="H556" s="29">
        <f>IF($A556="","",F556+G556)</f>
        <v/>
      </c>
      <c r="I556" s="14" t="n"/>
      <c r="J556" s="33" t="n"/>
      <c r="K556" s="16">
        <f>IF(OR($A556="",I556="Pagado"),"",MAX(0,TODAY()-E556))</f>
        <v/>
      </c>
      <c r="L556" s="16">
        <f>IF($A556="","",IF(I556="Pagado","Pagado",IF(E556&lt;TODAY(),"Atrasado",IF(E556&lt;=EOMONTH(TODAY(),0),"Este mes","Pendiente"))))</f>
        <v/>
      </c>
      <c r="M556" s="20">
        <f>IF(OR($A556="",I556="Pagado"),"",HYPERLINK("https://wa.me/"&amp;IF(INDEX('Préstamos'!$C$2:$C$101,MATCH($A556,'Préstamos'!$A$2:$A$101,0))="","","51"&amp;SUBSTITUTE(INDEX('Préstamos'!$C$2:$C$101,MATCH($A556,'Préstamos'!$A$2:$A$101,0))," ",""))&amp;"?text="&amp;SUBSTITUTE("Hola "&amp;B556&amp;", te recuerdo que tu cuota de S/ "&amp;H556&amp;IF(E556&lt;TODAY()," vencio el "," vence el ")&amp;TEXT(E556,"dd/mm")&amp;". Gracias!"," ","%20"),"WhatsApp"))</f>
        <v/>
      </c>
    </row>
    <row r="557">
      <c r="A557" s="14" t="n"/>
      <c r="B557" s="16">
        <f>IF($A557="","",INDEX('Préstamos'!$B$2:$B$101,MATCH($A557,'Préstamos'!$A$2:$A$101,0)))</f>
        <v/>
      </c>
      <c r="C557" s="14" t="n"/>
      <c r="D557" s="14" t="n"/>
      <c r="E557" s="33" t="n"/>
      <c r="F557" s="29">
        <f>IF($A557="","",IF(D557="Solo interés",0,IF(AND(D557&lt;&gt;"Solo interés",C557=INDEX('Préstamos'!$G$2:$G$101,MATCH($A557,'Préstamos'!$A$2:$A$101,0))),INDEX('Préstamos'!$D$2:$D$101,MATCH($A557,'Préstamos'!$A$2:$A$101,0))-INDEX('Préstamos'!$J$2:$J$101,MATCH($A557,'Préstamos'!$A$2:$A$101,0))*(INDEX('Préstamos'!$G$2:$G$101,MATCH($A557,'Préstamos'!$A$2:$A$101,0))-1),INDEX('Préstamos'!$J$2:$J$101,MATCH($A557,'Préstamos'!$A$2:$A$101,0)))))</f>
        <v/>
      </c>
      <c r="G557" s="29">
        <f>IF($A557="","",IF(AND(D557&lt;&gt;"Solo interés",C557=INDEX('Préstamos'!$G$2:$G$101,MATCH($A557,'Préstamos'!$A$2:$A$101,0))),INDEX('Préstamos'!$I$2:$I$101,MATCH($A557,'Préstamos'!$A$2:$A$101,0))-INDEX('Préstamos'!$K$2:$K$101,MATCH($A557,'Préstamos'!$A$2:$A$101,0))*(INDEX('Préstamos'!$G$2:$G$101,MATCH($A557,'Préstamos'!$A$2:$A$101,0))-1),INDEX('Préstamos'!$K$2:$K$101,MATCH($A557,'Préstamos'!$A$2:$A$101,0))))</f>
        <v/>
      </c>
      <c r="H557" s="29">
        <f>IF($A557="","",F557+G557)</f>
        <v/>
      </c>
      <c r="I557" s="14" t="n"/>
      <c r="J557" s="33" t="n"/>
      <c r="K557" s="16">
        <f>IF(OR($A557="",I557="Pagado"),"",MAX(0,TODAY()-E557))</f>
        <v/>
      </c>
      <c r="L557" s="16">
        <f>IF($A557="","",IF(I557="Pagado","Pagado",IF(E557&lt;TODAY(),"Atrasado",IF(E557&lt;=EOMONTH(TODAY(),0),"Este mes","Pendiente"))))</f>
        <v/>
      </c>
      <c r="M557" s="20">
        <f>IF(OR($A557="",I557="Pagado"),"",HYPERLINK("https://wa.me/"&amp;IF(INDEX('Préstamos'!$C$2:$C$101,MATCH($A557,'Préstamos'!$A$2:$A$101,0))="","","51"&amp;SUBSTITUTE(INDEX('Préstamos'!$C$2:$C$101,MATCH($A557,'Préstamos'!$A$2:$A$101,0))," ",""))&amp;"?text="&amp;SUBSTITUTE("Hola "&amp;B557&amp;", te recuerdo que tu cuota de S/ "&amp;H557&amp;IF(E557&lt;TODAY()," vencio el "," vence el ")&amp;TEXT(E557,"dd/mm")&amp;". Gracias!"," ","%20"),"WhatsApp"))</f>
        <v/>
      </c>
    </row>
    <row r="558">
      <c r="A558" s="14" t="n"/>
      <c r="B558" s="16">
        <f>IF($A558="","",INDEX('Préstamos'!$B$2:$B$101,MATCH($A558,'Préstamos'!$A$2:$A$101,0)))</f>
        <v/>
      </c>
      <c r="C558" s="14" t="n"/>
      <c r="D558" s="14" t="n"/>
      <c r="E558" s="33" t="n"/>
      <c r="F558" s="29">
        <f>IF($A558="","",IF(D558="Solo interés",0,IF(AND(D558&lt;&gt;"Solo interés",C558=INDEX('Préstamos'!$G$2:$G$101,MATCH($A558,'Préstamos'!$A$2:$A$101,0))),INDEX('Préstamos'!$D$2:$D$101,MATCH($A558,'Préstamos'!$A$2:$A$101,0))-INDEX('Préstamos'!$J$2:$J$101,MATCH($A558,'Préstamos'!$A$2:$A$101,0))*(INDEX('Préstamos'!$G$2:$G$101,MATCH($A558,'Préstamos'!$A$2:$A$101,0))-1),INDEX('Préstamos'!$J$2:$J$101,MATCH($A558,'Préstamos'!$A$2:$A$101,0)))))</f>
        <v/>
      </c>
      <c r="G558" s="29">
        <f>IF($A558="","",IF(AND(D558&lt;&gt;"Solo interés",C558=INDEX('Préstamos'!$G$2:$G$101,MATCH($A558,'Préstamos'!$A$2:$A$101,0))),INDEX('Préstamos'!$I$2:$I$101,MATCH($A558,'Préstamos'!$A$2:$A$101,0))-INDEX('Préstamos'!$K$2:$K$101,MATCH($A558,'Préstamos'!$A$2:$A$101,0))*(INDEX('Préstamos'!$G$2:$G$101,MATCH($A558,'Préstamos'!$A$2:$A$101,0))-1),INDEX('Préstamos'!$K$2:$K$101,MATCH($A558,'Préstamos'!$A$2:$A$101,0))))</f>
        <v/>
      </c>
      <c r="H558" s="29">
        <f>IF($A558="","",F558+G558)</f>
        <v/>
      </c>
      <c r="I558" s="14" t="n"/>
      <c r="J558" s="33" t="n"/>
      <c r="K558" s="16">
        <f>IF(OR($A558="",I558="Pagado"),"",MAX(0,TODAY()-E558))</f>
        <v/>
      </c>
      <c r="L558" s="16">
        <f>IF($A558="","",IF(I558="Pagado","Pagado",IF(E558&lt;TODAY(),"Atrasado",IF(E558&lt;=EOMONTH(TODAY(),0),"Este mes","Pendiente"))))</f>
        <v/>
      </c>
      <c r="M558" s="20">
        <f>IF(OR($A558="",I558="Pagado"),"",HYPERLINK("https://wa.me/"&amp;IF(INDEX('Préstamos'!$C$2:$C$101,MATCH($A558,'Préstamos'!$A$2:$A$101,0))="","","51"&amp;SUBSTITUTE(INDEX('Préstamos'!$C$2:$C$101,MATCH($A558,'Préstamos'!$A$2:$A$101,0))," ",""))&amp;"?text="&amp;SUBSTITUTE("Hola "&amp;B558&amp;", te recuerdo que tu cuota de S/ "&amp;H558&amp;IF(E558&lt;TODAY()," vencio el "," vence el ")&amp;TEXT(E558,"dd/mm")&amp;". Gracias!"," ","%20"),"WhatsApp"))</f>
        <v/>
      </c>
    </row>
    <row r="559">
      <c r="A559" s="14" t="n"/>
      <c r="B559" s="16">
        <f>IF($A559="","",INDEX('Préstamos'!$B$2:$B$101,MATCH($A559,'Préstamos'!$A$2:$A$101,0)))</f>
        <v/>
      </c>
      <c r="C559" s="14" t="n"/>
      <c r="D559" s="14" t="n"/>
      <c r="E559" s="33" t="n"/>
      <c r="F559" s="29">
        <f>IF($A559="","",IF(D559="Solo interés",0,IF(AND(D559&lt;&gt;"Solo interés",C559=INDEX('Préstamos'!$G$2:$G$101,MATCH($A559,'Préstamos'!$A$2:$A$101,0))),INDEX('Préstamos'!$D$2:$D$101,MATCH($A559,'Préstamos'!$A$2:$A$101,0))-INDEX('Préstamos'!$J$2:$J$101,MATCH($A559,'Préstamos'!$A$2:$A$101,0))*(INDEX('Préstamos'!$G$2:$G$101,MATCH($A559,'Préstamos'!$A$2:$A$101,0))-1),INDEX('Préstamos'!$J$2:$J$101,MATCH($A559,'Préstamos'!$A$2:$A$101,0)))))</f>
        <v/>
      </c>
      <c r="G559" s="29">
        <f>IF($A559="","",IF(AND(D559&lt;&gt;"Solo interés",C559=INDEX('Préstamos'!$G$2:$G$101,MATCH($A559,'Préstamos'!$A$2:$A$101,0))),INDEX('Préstamos'!$I$2:$I$101,MATCH($A559,'Préstamos'!$A$2:$A$101,0))-INDEX('Préstamos'!$K$2:$K$101,MATCH($A559,'Préstamos'!$A$2:$A$101,0))*(INDEX('Préstamos'!$G$2:$G$101,MATCH($A559,'Préstamos'!$A$2:$A$101,0))-1),INDEX('Préstamos'!$K$2:$K$101,MATCH($A559,'Préstamos'!$A$2:$A$101,0))))</f>
        <v/>
      </c>
      <c r="H559" s="29">
        <f>IF($A559="","",F559+G559)</f>
        <v/>
      </c>
      <c r="I559" s="14" t="n"/>
      <c r="J559" s="33" t="n"/>
      <c r="K559" s="16">
        <f>IF(OR($A559="",I559="Pagado"),"",MAX(0,TODAY()-E559))</f>
        <v/>
      </c>
      <c r="L559" s="16">
        <f>IF($A559="","",IF(I559="Pagado","Pagado",IF(E559&lt;TODAY(),"Atrasado",IF(E559&lt;=EOMONTH(TODAY(),0),"Este mes","Pendiente"))))</f>
        <v/>
      </c>
      <c r="M559" s="20">
        <f>IF(OR($A559="",I559="Pagado"),"",HYPERLINK("https://wa.me/"&amp;IF(INDEX('Préstamos'!$C$2:$C$101,MATCH($A559,'Préstamos'!$A$2:$A$101,0))="","","51"&amp;SUBSTITUTE(INDEX('Préstamos'!$C$2:$C$101,MATCH($A559,'Préstamos'!$A$2:$A$101,0))," ",""))&amp;"?text="&amp;SUBSTITUTE("Hola "&amp;B559&amp;", te recuerdo que tu cuota de S/ "&amp;H559&amp;IF(E559&lt;TODAY()," vencio el "," vence el ")&amp;TEXT(E559,"dd/mm")&amp;". Gracias!"," ","%20"),"WhatsApp"))</f>
        <v/>
      </c>
    </row>
    <row r="560">
      <c r="A560" s="14" t="n"/>
      <c r="B560" s="16">
        <f>IF($A560="","",INDEX('Préstamos'!$B$2:$B$101,MATCH($A560,'Préstamos'!$A$2:$A$101,0)))</f>
        <v/>
      </c>
      <c r="C560" s="14" t="n"/>
      <c r="D560" s="14" t="n"/>
      <c r="E560" s="33" t="n"/>
      <c r="F560" s="29">
        <f>IF($A560="","",IF(D560="Solo interés",0,IF(AND(D560&lt;&gt;"Solo interés",C560=INDEX('Préstamos'!$G$2:$G$101,MATCH($A560,'Préstamos'!$A$2:$A$101,0))),INDEX('Préstamos'!$D$2:$D$101,MATCH($A560,'Préstamos'!$A$2:$A$101,0))-INDEX('Préstamos'!$J$2:$J$101,MATCH($A560,'Préstamos'!$A$2:$A$101,0))*(INDEX('Préstamos'!$G$2:$G$101,MATCH($A560,'Préstamos'!$A$2:$A$101,0))-1),INDEX('Préstamos'!$J$2:$J$101,MATCH($A560,'Préstamos'!$A$2:$A$101,0)))))</f>
        <v/>
      </c>
      <c r="G560" s="29">
        <f>IF($A560="","",IF(AND(D560&lt;&gt;"Solo interés",C560=INDEX('Préstamos'!$G$2:$G$101,MATCH($A560,'Préstamos'!$A$2:$A$101,0))),INDEX('Préstamos'!$I$2:$I$101,MATCH($A560,'Préstamos'!$A$2:$A$101,0))-INDEX('Préstamos'!$K$2:$K$101,MATCH($A560,'Préstamos'!$A$2:$A$101,0))*(INDEX('Préstamos'!$G$2:$G$101,MATCH($A560,'Préstamos'!$A$2:$A$101,0))-1),INDEX('Préstamos'!$K$2:$K$101,MATCH($A560,'Préstamos'!$A$2:$A$101,0))))</f>
        <v/>
      </c>
      <c r="H560" s="29">
        <f>IF($A560="","",F560+G560)</f>
        <v/>
      </c>
      <c r="I560" s="14" t="n"/>
      <c r="J560" s="33" t="n"/>
      <c r="K560" s="16">
        <f>IF(OR($A560="",I560="Pagado"),"",MAX(0,TODAY()-E560))</f>
        <v/>
      </c>
      <c r="L560" s="16">
        <f>IF($A560="","",IF(I560="Pagado","Pagado",IF(E560&lt;TODAY(),"Atrasado",IF(E560&lt;=EOMONTH(TODAY(),0),"Este mes","Pendiente"))))</f>
        <v/>
      </c>
      <c r="M560" s="20">
        <f>IF(OR($A560="",I560="Pagado"),"",HYPERLINK("https://wa.me/"&amp;IF(INDEX('Préstamos'!$C$2:$C$101,MATCH($A560,'Préstamos'!$A$2:$A$101,0))="","","51"&amp;SUBSTITUTE(INDEX('Préstamos'!$C$2:$C$101,MATCH($A560,'Préstamos'!$A$2:$A$101,0))," ",""))&amp;"?text="&amp;SUBSTITUTE("Hola "&amp;B560&amp;", te recuerdo que tu cuota de S/ "&amp;H560&amp;IF(E560&lt;TODAY()," vencio el "," vence el ")&amp;TEXT(E560,"dd/mm")&amp;". Gracias!"," ","%20"),"WhatsApp"))</f>
        <v/>
      </c>
    </row>
    <row r="561">
      <c r="A561" s="14" t="n"/>
      <c r="B561" s="16">
        <f>IF($A561="","",INDEX('Préstamos'!$B$2:$B$101,MATCH($A561,'Préstamos'!$A$2:$A$101,0)))</f>
        <v/>
      </c>
      <c r="C561" s="14" t="n"/>
      <c r="D561" s="14" t="n"/>
      <c r="E561" s="33" t="n"/>
      <c r="F561" s="29">
        <f>IF($A561="","",IF(D561="Solo interés",0,IF(AND(D561&lt;&gt;"Solo interés",C561=INDEX('Préstamos'!$G$2:$G$101,MATCH($A561,'Préstamos'!$A$2:$A$101,0))),INDEX('Préstamos'!$D$2:$D$101,MATCH($A561,'Préstamos'!$A$2:$A$101,0))-INDEX('Préstamos'!$J$2:$J$101,MATCH($A561,'Préstamos'!$A$2:$A$101,0))*(INDEX('Préstamos'!$G$2:$G$101,MATCH($A561,'Préstamos'!$A$2:$A$101,0))-1),INDEX('Préstamos'!$J$2:$J$101,MATCH($A561,'Préstamos'!$A$2:$A$101,0)))))</f>
        <v/>
      </c>
      <c r="G561" s="29">
        <f>IF($A561="","",IF(AND(D561&lt;&gt;"Solo interés",C561=INDEX('Préstamos'!$G$2:$G$101,MATCH($A561,'Préstamos'!$A$2:$A$101,0))),INDEX('Préstamos'!$I$2:$I$101,MATCH($A561,'Préstamos'!$A$2:$A$101,0))-INDEX('Préstamos'!$K$2:$K$101,MATCH($A561,'Préstamos'!$A$2:$A$101,0))*(INDEX('Préstamos'!$G$2:$G$101,MATCH($A561,'Préstamos'!$A$2:$A$101,0))-1),INDEX('Préstamos'!$K$2:$K$101,MATCH($A561,'Préstamos'!$A$2:$A$101,0))))</f>
        <v/>
      </c>
      <c r="H561" s="29">
        <f>IF($A561="","",F561+G561)</f>
        <v/>
      </c>
      <c r="I561" s="14" t="n"/>
      <c r="J561" s="33" t="n"/>
      <c r="K561" s="16">
        <f>IF(OR($A561="",I561="Pagado"),"",MAX(0,TODAY()-E561))</f>
        <v/>
      </c>
      <c r="L561" s="16">
        <f>IF($A561="","",IF(I561="Pagado","Pagado",IF(E561&lt;TODAY(),"Atrasado",IF(E561&lt;=EOMONTH(TODAY(),0),"Este mes","Pendiente"))))</f>
        <v/>
      </c>
      <c r="M561" s="20">
        <f>IF(OR($A561="",I561="Pagado"),"",HYPERLINK("https://wa.me/"&amp;IF(INDEX('Préstamos'!$C$2:$C$101,MATCH($A561,'Préstamos'!$A$2:$A$101,0))="","","51"&amp;SUBSTITUTE(INDEX('Préstamos'!$C$2:$C$101,MATCH($A561,'Préstamos'!$A$2:$A$101,0))," ",""))&amp;"?text="&amp;SUBSTITUTE("Hola "&amp;B561&amp;", te recuerdo que tu cuota de S/ "&amp;H561&amp;IF(E561&lt;TODAY()," vencio el "," vence el ")&amp;TEXT(E561,"dd/mm")&amp;". Gracias!"," ","%20"),"WhatsApp"))</f>
        <v/>
      </c>
    </row>
    <row r="562">
      <c r="A562" s="14" t="n"/>
      <c r="B562" s="16">
        <f>IF($A562="","",INDEX('Préstamos'!$B$2:$B$101,MATCH($A562,'Préstamos'!$A$2:$A$101,0)))</f>
        <v/>
      </c>
      <c r="C562" s="14" t="n"/>
      <c r="D562" s="14" t="n"/>
      <c r="E562" s="33" t="n"/>
      <c r="F562" s="29">
        <f>IF($A562="","",IF(D562="Solo interés",0,IF(AND(D562&lt;&gt;"Solo interés",C562=INDEX('Préstamos'!$G$2:$G$101,MATCH($A562,'Préstamos'!$A$2:$A$101,0))),INDEX('Préstamos'!$D$2:$D$101,MATCH($A562,'Préstamos'!$A$2:$A$101,0))-INDEX('Préstamos'!$J$2:$J$101,MATCH($A562,'Préstamos'!$A$2:$A$101,0))*(INDEX('Préstamos'!$G$2:$G$101,MATCH($A562,'Préstamos'!$A$2:$A$101,0))-1),INDEX('Préstamos'!$J$2:$J$101,MATCH($A562,'Préstamos'!$A$2:$A$101,0)))))</f>
        <v/>
      </c>
      <c r="G562" s="29">
        <f>IF($A562="","",IF(AND(D562&lt;&gt;"Solo interés",C562=INDEX('Préstamos'!$G$2:$G$101,MATCH($A562,'Préstamos'!$A$2:$A$101,0))),INDEX('Préstamos'!$I$2:$I$101,MATCH($A562,'Préstamos'!$A$2:$A$101,0))-INDEX('Préstamos'!$K$2:$K$101,MATCH($A562,'Préstamos'!$A$2:$A$101,0))*(INDEX('Préstamos'!$G$2:$G$101,MATCH($A562,'Préstamos'!$A$2:$A$101,0))-1),INDEX('Préstamos'!$K$2:$K$101,MATCH($A562,'Préstamos'!$A$2:$A$101,0))))</f>
        <v/>
      </c>
      <c r="H562" s="29">
        <f>IF($A562="","",F562+G562)</f>
        <v/>
      </c>
      <c r="I562" s="14" t="n"/>
      <c r="J562" s="33" t="n"/>
      <c r="K562" s="16">
        <f>IF(OR($A562="",I562="Pagado"),"",MAX(0,TODAY()-E562))</f>
        <v/>
      </c>
      <c r="L562" s="16">
        <f>IF($A562="","",IF(I562="Pagado","Pagado",IF(E562&lt;TODAY(),"Atrasado",IF(E562&lt;=EOMONTH(TODAY(),0),"Este mes","Pendiente"))))</f>
        <v/>
      </c>
      <c r="M562" s="20">
        <f>IF(OR($A562="",I562="Pagado"),"",HYPERLINK("https://wa.me/"&amp;IF(INDEX('Préstamos'!$C$2:$C$101,MATCH($A562,'Préstamos'!$A$2:$A$101,0))="","","51"&amp;SUBSTITUTE(INDEX('Préstamos'!$C$2:$C$101,MATCH($A562,'Préstamos'!$A$2:$A$101,0))," ",""))&amp;"?text="&amp;SUBSTITUTE("Hola "&amp;B562&amp;", te recuerdo que tu cuota de S/ "&amp;H562&amp;IF(E562&lt;TODAY()," vencio el "," vence el ")&amp;TEXT(E562,"dd/mm")&amp;". Gracias!"," ","%20"),"WhatsApp"))</f>
        <v/>
      </c>
    </row>
    <row r="563">
      <c r="A563" s="14" t="n"/>
      <c r="B563" s="16">
        <f>IF($A563="","",INDEX('Préstamos'!$B$2:$B$101,MATCH($A563,'Préstamos'!$A$2:$A$101,0)))</f>
        <v/>
      </c>
      <c r="C563" s="14" t="n"/>
      <c r="D563" s="14" t="n"/>
      <c r="E563" s="33" t="n"/>
      <c r="F563" s="29">
        <f>IF($A563="","",IF(D563="Solo interés",0,IF(AND(D563&lt;&gt;"Solo interés",C563=INDEX('Préstamos'!$G$2:$G$101,MATCH($A563,'Préstamos'!$A$2:$A$101,0))),INDEX('Préstamos'!$D$2:$D$101,MATCH($A563,'Préstamos'!$A$2:$A$101,0))-INDEX('Préstamos'!$J$2:$J$101,MATCH($A563,'Préstamos'!$A$2:$A$101,0))*(INDEX('Préstamos'!$G$2:$G$101,MATCH($A563,'Préstamos'!$A$2:$A$101,0))-1),INDEX('Préstamos'!$J$2:$J$101,MATCH($A563,'Préstamos'!$A$2:$A$101,0)))))</f>
        <v/>
      </c>
      <c r="G563" s="29">
        <f>IF($A563="","",IF(AND(D563&lt;&gt;"Solo interés",C563=INDEX('Préstamos'!$G$2:$G$101,MATCH($A563,'Préstamos'!$A$2:$A$101,0))),INDEX('Préstamos'!$I$2:$I$101,MATCH($A563,'Préstamos'!$A$2:$A$101,0))-INDEX('Préstamos'!$K$2:$K$101,MATCH($A563,'Préstamos'!$A$2:$A$101,0))*(INDEX('Préstamos'!$G$2:$G$101,MATCH($A563,'Préstamos'!$A$2:$A$101,0))-1),INDEX('Préstamos'!$K$2:$K$101,MATCH($A563,'Préstamos'!$A$2:$A$101,0))))</f>
        <v/>
      </c>
      <c r="H563" s="29">
        <f>IF($A563="","",F563+G563)</f>
        <v/>
      </c>
      <c r="I563" s="14" t="n"/>
      <c r="J563" s="33" t="n"/>
      <c r="K563" s="16">
        <f>IF(OR($A563="",I563="Pagado"),"",MAX(0,TODAY()-E563))</f>
        <v/>
      </c>
      <c r="L563" s="16">
        <f>IF($A563="","",IF(I563="Pagado","Pagado",IF(E563&lt;TODAY(),"Atrasado",IF(E563&lt;=EOMONTH(TODAY(),0),"Este mes","Pendiente"))))</f>
        <v/>
      </c>
      <c r="M563" s="20">
        <f>IF(OR($A563="",I563="Pagado"),"",HYPERLINK("https://wa.me/"&amp;IF(INDEX('Préstamos'!$C$2:$C$101,MATCH($A563,'Préstamos'!$A$2:$A$101,0))="","","51"&amp;SUBSTITUTE(INDEX('Préstamos'!$C$2:$C$101,MATCH($A563,'Préstamos'!$A$2:$A$101,0))," ",""))&amp;"?text="&amp;SUBSTITUTE("Hola "&amp;B563&amp;", te recuerdo que tu cuota de S/ "&amp;H563&amp;IF(E563&lt;TODAY()," vencio el "," vence el ")&amp;TEXT(E563,"dd/mm")&amp;". Gracias!"," ","%20"),"WhatsApp"))</f>
        <v/>
      </c>
    </row>
    <row r="564">
      <c r="A564" s="14" t="n"/>
      <c r="B564" s="16">
        <f>IF($A564="","",INDEX('Préstamos'!$B$2:$B$101,MATCH($A564,'Préstamos'!$A$2:$A$101,0)))</f>
        <v/>
      </c>
      <c r="C564" s="14" t="n"/>
      <c r="D564" s="14" t="n"/>
      <c r="E564" s="33" t="n"/>
      <c r="F564" s="29">
        <f>IF($A564="","",IF(D564="Solo interés",0,IF(AND(D564&lt;&gt;"Solo interés",C564=INDEX('Préstamos'!$G$2:$G$101,MATCH($A564,'Préstamos'!$A$2:$A$101,0))),INDEX('Préstamos'!$D$2:$D$101,MATCH($A564,'Préstamos'!$A$2:$A$101,0))-INDEX('Préstamos'!$J$2:$J$101,MATCH($A564,'Préstamos'!$A$2:$A$101,0))*(INDEX('Préstamos'!$G$2:$G$101,MATCH($A564,'Préstamos'!$A$2:$A$101,0))-1),INDEX('Préstamos'!$J$2:$J$101,MATCH($A564,'Préstamos'!$A$2:$A$101,0)))))</f>
        <v/>
      </c>
      <c r="G564" s="29">
        <f>IF($A564="","",IF(AND(D564&lt;&gt;"Solo interés",C564=INDEX('Préstamos'!$G$2:$G$101,MATCH($A564,'Préstamos'!$A$2:$A$101,0))),INDEX('Préstamos'!$I$2:$I$101,MATCH($A564,'Préstamos'!$A$2:$A$101,0))-INDEX('Préstamos'!$K$2:$K$101,MATCH($A564,'Préstamos'!$A$2:$A$101,0))*(INDEX('Préstamos'!$G$2:$G$101,MATCH($A564,'Préstamos'!$A$2:$A$101,0))-1),INDEX('Préstamos'!$K$2:$K$101,MATCH($A564,'Préstamos'!$A$2:$A$101,0))))</f>
        <v/>
      </c>
      <c r="H564" s="29">
        <f>IF($A564="","",F564+G564)</f>
        <v/>
      </c>
      <c r="I564" s="14" t="n"/>
      <c r="J564" s="33" t="n"/>
      <c r="K564" s="16">
        <f>IF(OR($A564="",I564="Pagado"),"",MAX(0,TODAY()-E564))</f>
        <v/>
      </c>
      <c r="L564" s="16">
        <f>IF($A564="","",IF(I564="Pagado","Pagado",IF(E564&lt;TODAY(),"Atrasado",IF(E564&lt;=EOMONTH(TODAY(),0),"Este mes","Pendiente"))))</f>
        <v/>
      </c>
      <c r="M564" s="20">
        <f>IF(OR($A564="",I564="Pagado"),"",HYPERLINK("https://wa.me/"&amp;IF(INDEX('Préstamos'!$C$2:$C$101,MATCH($A564,'Préstamos'!$A$2:$A$101,0))="","","51"&amp;SUBSTITUTE(INDEX('Préstamos'!$C$2:$C$101,MATCH($A564,'Préstamos'!$A$2:$A$101,0))," ",""))&amp;"?text="&amp;SUBSTITUTE("Hola "&amp;B564&amp;", te recuerdo que tu cuota de S/ "&amp;H564&amp;IF(E564&lt;TODAY()," vencio el "," vence el ")&amp;TEXT(E564,"dd/mm")&amp;". Gracias!"," ","%20"),"WhatsApp"))</f>
        <v/>
      </c>
    </row>
    <row r="565">
      <c r="A565" s="14" t="n"/>
      <c r="B565" s="16">
        <f>IF($A565="","",INDEX('Préstamos'!$B$2:$B$101,MATCH($A565,'Préstamos'!$A$2:$A$101,0)))</f>
        <v/>
      </c>
      <c r="C565" s="14" t="n"/>
      <c r="D565" s="14" t="n"/>
      <c r="E565" s="33" t="n"/>
      <c r="F565" s="29">
        <f>IF($A565="","",IF(D565="Solo interés",0,IF(AND(D565&lt;&gt;"Solo interés",C565=INDEX('Préstamos'!$G$2:$G$101,MATCH($A565,'Préstamos'!$A$2:$A$101,0))),INDEX('Préstamos'!$D$2:$D$101,MATCH($A565,'Préstamos'!$A$2:$A$101,0))-INDEX('Préstamos'!$J$2:$J$101,MATCH($A565,'Préstamos'!$A$2:$A$101,0))*(INDEX('Préstamos'!$G$2:$G$101,MATCH($A565,'Préstamos'!$A$2:$A$101,0))-1),INDEX('Préstamos'!$J$2:$J$101,MATCH($A565,'Préstamos'!$A$2:$A$101,0)))))</f>
        <v/>
      </c>
      <c r="G565" s="29">
        <f>IF($A565="","",IF(AND(D565&lt;&gt;"Solo interés",C565=INDEX('Préstamos'!$G$2:$G$101,MATCH($A565,'Préstamos'!$A$2:$A$101,0))),INDEX('Préstamos'!$I$2:$I$101,MATCH($A565,'Préstamos'!$A$2:$A$101,0))-INDEX('Préstamos'!$K$2:$K$101,MATCH($A565,'Préstamos'!$A$2:$A$101,0))*(INDEX('Préstamos'!$G$2:$G$101,MATCH($A565,'Préstamos'!$A$2:$A$101,0))-1),INDEX('Préstamos'!$K$2:$K$101,MATCH($A565,'Préstamos'!$A$2:$A$101,0))))</f>
        <v/>
      </c>
      <c r="H565" s="29">
        <f>IF($A565="","",F565+G565)</f>
        <v/>
      </c>
      <c r="I565" s="14" t="n"/>
      <c r="J565" s="33" t="n"/>
      <c r="K565" s="16">
        <f>IF(OR($A565="",I565="Pagado"),"",MAX(0,TODAY()-E565))</f>
        <v/>
      </c>
      <c r="L565" s="16">
        <f>IF($A565="","",IF(I565="Pagado","Pagado",IF(E565&lt;TODAY(),"Atrasado",IF(E565&lt;=EOMONTH(TODAY(),0),"Este mes","Pendiente"))))</f>
        <v/>
      </c>
      <c r="M565" s="20">
        <f>IF(OR($A565="",I565="Pagado"),"",HYPERLINK("https://wa.me/"&amp;IF(INDEX('Préstamos'!$C$2:$C$101,MATCH($A565,'Préstamos'!$A$2:$A$101,0))="","","51"&amp;SUBSTITUTE(INDEX('Préstamos'!$C$2:$C$101,MATCH($A565,'Préstamos'!$A$2:$A$101,0))," ",""))&amp;"?text="&amp;SUBSTITUTE("Hola "&amp;B565&amp;", te recuerdo que tu cuota de S/ "&amp;H565&amp;IF(E565&lt;TODAY()," vencio el "," vence el ")&amp;TEXT(E565,"dd/mm")&amp;". Gracias!"," ","%20"),"WhatsApp"))</f>
        <v/>
      </c>
    </row>
    <row r="566">
      <c r="A566" s="14" t="n"/>
      <c r="B566" s="16">
        <f>IF($A566="","",INDEX('Préstamos'!$B$2:$B$101,MATCH($A566,'Préstamos'!$A$2:$A$101,0)))</f>
        <v/>
      </c>
      <c r="C566" s="14" t="n"/>
      <c r="D566" s="14" t="n"/>
      <c r="E566" s="33" t="n"/>
      <c r="F566" s="29">
        <f>IF($A566="","",IF(D566="Solo interés",0,IF(AND(D566&lt;&gt;"Solo interés",C566=INDEX('Préstamos'!$G$2:$G$101,MATCH($A566,'Préstamos'!$A$2:$A$101,0))),INDEX('Préstamos'!$D$2:$D$101,MATCH($A566,'Préstamos'!$A$2:$A$101,0))-INDEX('Préstamos'!$J$2:$J$101,MATCH($A566,'Préstamos'!$A$2:$A$101,0))*(INDEX('Préstamos'!$G$2:$G$101,MATCH($A566,'Préstamos'!$A$2:$A$101,0))-1),INDEX('Préstamos'!$J$2:$J$101,MATCH($A566,'Préstamos'!$A$2:$A$101,0)))))</f>
        <v/>
      </c>
      <c r="G566" s="29">
        <f>IF($A566="","",IF(AND(D566&lt;&gt;"Solo interés",C566=INDEX('Préstamos'!$G$2:$G$101,MATCH($A566,'Préstamos'!$A$2:$A$101,0))),INDEX('Préstamos'!$I$2:$I$101,MATCH($A566,'Préstamos'!$A$2:$A$101,0))-INDEX('Préstamos'!$K$2:$K$101,MATCH($A566,'Préstamos'!$A$2:$A$101,0))*(INDEX('Préstamos'!$G$2:$G$101,MATCH($A566,'Préstamos'!$A$2:$A$101,0))-1),INDEX('Préstamos'!$K$2:$K$101,MATCH($A566,'Préstamos'!$A$2:$A$101,0))))</f>
        <v/>
      </c>
      <c r="H566" s="29">
        <f>IF($A566="","",F566+G566)</f>
        <v/>
      </c>
      <c r="I566" s="14" t="n"/>
      <c r="J566" s="33" t="n"/>
      <c r="K566" s="16">
        <f>IF(OR($A566="",I566="Pagado"),"",MAX(0,TODAY()-E566))</f>
        <v/>
      </c>
      <c r="L566" s="16">
        <f>IF($A566="","",IF(I566="Pagado","Pagado",IF(E566&lt;TODAY(),"Atrasado",IF(E566&lt;=EOMONTH(TODAY(),0),"Este mes","Pendiente"))))</f>
        <v/>
      </c>
      <c r="M566" s="20">
        <f>IF(OR($A566="",I566="Pagado"),"",HYPERLINK("https://wa.me/"&amp;IF(INDEX('Préstamos'!$C$2:$C$101,MATCH($A566,'Préstamos'!$A$2:$A$101,0))="","","51"&amp;SUBSTITUTE(INDEX('Préstamos'!$C$2:$C$101,MATCH($A566,'Préstamos'!$A$2:$A$101,0))," ",""))&amp;"?text="&amp;SUBSTITUTE("Hola "&amp;B566&amp;", te recuerdo que tu cuota de S/ "&amp;H566&amp;IF(E566&lt;TODAY()," vencio el "," vence el ")&amp;TEXT(E566,"dd/mm")&amp;". Gracias!"," ","%20"),"WhatsApp"))</f>
        <v/>
      </c>
    </row>
    <row r="567">
      <c r="A567" s="14" t="n"/>
      <c r="B567" s="16">
        <f>IF($A567="","",INDEX('Préstamos'!$B$2:$B$101,MATCH($A567,'Préstamos'!$A$2:$A$101,0)))</f>
        <v/>
      </c>
      <c r="C567" s="14" t="n"/>
      <c r="D567" s="14" t="n"/>
      <c r="E567" s="33" t="n"/>
      <c r="F567" s="29">
        <f>IF($A567="","",IF(D567="Solo interés",0,IF(AND(D567&lt;&gt;"Solo interés",C567=INDEX('Préstamos'!$G$2:$G$101,MATCH($A567,'Préstamos'!$A$2:$A$101,0))),INDEX('Préstamos'!$D$2:$D$101,MATCH($A567,'Préstamos'!$A$2:$A$101,0))-INDEX('Préstamos'!$J$2:$J$101,MATCH($A567,'Préstamos'!$A$2:$A$101,0))*(INDEX('Préstamos'!$G$2:$G$101,MATCH($A567,'Préstamos'!$A$2:$A$101,0))-1),INDEX('Préstamos'!$J$2:$J$101,MATCH($A567,'Préstamos'!$A$2:$A$101,0)))))</f>
        <v/>
      </c>
      <c r="G567" s="29">
        <f>IF($A567="","",IF(AND(D567&lt;&gt;"Solo interés",C567=INDEX('Préstamos'!$G$2:$G$101,MATCH($A567,'Préstamos'!$A$2:$A$101,0))),INDEX('Préstamos'!$I$2:$I$101,MATCH($A567,'Préstamos'!$A$2:$A$101,0))-INDEX('Préstamos'!$K$2:$K$101,MATCH($A567,'Préstamos'!$A$2:$A$101,0))*(INDEX('Préstamos'!$G$2:$G$101,MATCH($A567,'Préstamos'!$A$2:$A$101,0))-1),INDEX('Préstamos'!$K$2:$K$101,MATCH($A567,'Préstamos'!$A$2:$A$101,0))))</f>
        <v/>
      </c>
      <c r="H567" s="29">
        <f>IF($A567="","",F567+G567)</f>
        <v/>
      </c>
      <c r="I567" s="14" t="n"/>
      <c r="J567" s="33" t="n"/>
      <c r="K567" s="16">
        <f>IF(OR($A567="",I567="Pagado"),"",MAX(0,TODAY()-E567))</f>
        <v/>
      </c>
      <c r="L567" s="16">
        <f>IF($A567="","",IF(I567="Pagado","Pagado",IF(E567&lt;TODAY(),"Atrasado",IF(E567&lt;=EOMONTH(TODAY(),0),"Este mes","Pendiente"))))</f>
        <v/>
      </c>
      <c r="M567" s="20">
        <f>IF(OR($A567="",I567="Pagado"),"",HYPERLINK("https://wa.me/"&amp;IF(INDEX('Préstamos'!$C$2:$C$101,MATCH($A567,'Préstamos'!$A$2:$A$101,0))="","","51"&amp;SUBSTITUTE(INDEX('Préstamos'!$C$2:$C$101,MATCH($A567,'Préstamos'!$A$2:$A$101,0))," ",""))&amp;"?text="&amp;SUBSTITUTE("Hola "&amp;B567&amp;", te recuerdo que tu cuota de S/ "&amp;H567&amp;IF(E567&lt;TODAY()," vencio el "," vence el ")&amp;TEXT(E567,"dd/mm")&amp;". Gracias!"," ","%20"),"WhatsApp"))</f>
        <v/>
      </c>
    </row>
    <row r="568">
      <c r="A568" s="14" t="n"/>
      <c r="B568" s="16">
        <f>IF($A568="","",INDEX('Préstamos'!$B$2:$B$101,MATCH($A568,'Préstamos'!$A$2:$A$101,0)))</f>
        <v/>
      </c>
      <c r="C568" s="14" t="n"/>
      <c r="D568" s="14" t="n"/>
      <c r="E568" s="33" t="n"/>
      <c r="F568" s="29">
        <f>IF($A568="","",IF(D568="Solo interés",0,IF(AND(D568&lt;&gt;"Solo interés",C568=INDEX('Préstamos'!$G$2:$G$101,MATCH($A568,'Préstamos'!$A$2:$A$101,0))),INDEX('Préstamos'!$D$2:$D$101,MATCH($A568,'Préstamos'!$A$2:$A$101,0))-INDEX('Préstamos'!$J$2:$J$101,MATCH($A568,'Préstamos'!$A$2:$A$101,0))*(INDEX('Préstamos'!$G$2:$G$101,MATCH($A568,'Préstamos'!$A$2:$A$101,0))-1),INDEX('Préstamos'!$J$2:$J$101,MATCH($A568,'Préstamos'!$A$2:$A$101,0)))))</f>
        <v/>
      </c>
      <c r="G568" s="29">
        <f>IF($A568="","",IF(AND(D568&lt;&gt;"Solo interés",C568=INDEX('Préstamos'!$G$2:$G$101,MATCH($A568,'Préstamos'!$A$2:$A$101,0))),INDEX('Préstamos'!$I$2:$I$101,MATCH($A568,'Préstamos'!$A$2:$A$101,0))-INDEX('Préstamos'!$K$2:$K$101,MATCH($A568,'Préstamos'!$A$2:$A$101,0))*(INDEX('Préstamos'!$G$2:$G$101,MATCH($A568,'Préstamos'!$A$2:$A$101,0))-1),INDEX('Préstamos'!$K$2:$K$101,MATCH($A568,'Préstamos'!$A$2:$A$101,0))))</f>
        <v/>
      </c>
      <c r="H568" s="29">
        <f>IF($A568="","",F568+G568)</f>
        <v/>
      </c>
      <c r="I568" s="14" t="n"/>
      <c r="J568" s="33" t="n"/>
      <c r="K568" s="16">
        <f>IF(OR($A568="",I568="Pagado"),"",MAX(0,TODAY()-E568))</f>
        <v/>
      </c>
      <c r="L568" s="16">
        <f>IF($A568="","",IF(I568="Pagado","Pagado",IF(E568&lt;TODAY(),"Atrasado",IF(E568&lt;=EOMONTH(TODAY(),0),"Este mes","Pendiente"))))</f>
        <v/>
      </c>
      <c r="M568" s="20">
        <f>IF(OR($A568="",I568="Pagado"),"",HYPERLINK("https://wa.me/"&amp;IF(INDEX('Préstamos'!$C$2:$C$101,MATCH($A568,'Préstamos'!$A$2:$A$101,0))="","","51"&amp;SUBSTITUTE(INDEX('Préstamos'!$C$2:$C$101,MATCH($A568,'Préstamos'!$A$2:$A$101,0))," ",""))&amp;"?text="&amp;SUBSTITUTE("Hola "&amp;B568&amp;", te recuerdo que tu cuota de S/ "&amp;H568&amp;IF(E568&lt;TODAY()," vencio el "," vence el ")&amp;TEXT(E568,"dd/mm")&amp;". Gracias!"," ","%20"),"WhatsApp"))</f>
        <v/>
      </c>
    </row>
    <row r="569">
      <c r="A569" s="14" t="n"/>
      <c r="B569" s="16">
        <f>IF($A569="","",INDEX('Préstamos'!$B$2:$B$101,MATCH($A569,'Préstamos'!$A$2:$A$101,0)))</f>
        <v/>
      </c>
      <c r="C569" s="14" t="n"/>
      <c r="D569" s="14" t="n"/>
      <c r="E569" s="33" t="n"/>
      <c r="F569" s="29">
        <f>IF($A569="","",IF(D569="Solo interés",0,IF(AND(D569&lt;&gt;"Solo interés",C569=INDEX('Préstamos'!$G$2:$G$101,MATCH($A569,'Préstamos'!$A$2:$A$101,0))),INDEX('Préstamos'!$D$2:$D$101,MATCH($A569,'Préstamos'!$A$2:$A$101,0))-INDEX('Préstamos'!$J$2:$J$101,MATCH($A569,'Préstamos'!$A$2:$A$101,0))*(INDEX('Préstamos'!$G$2:$G$101,MATCH($A569,'Préstamos'!$A$2:$A$101,0))-1),INDEX('Préstamos'!$J$2:$J$101,MATCH($A569,'Préstamos'!$A$2:$A$101,0)))))</f>
        <v/>
      </c>
      <c r="G569" s="29">
        <f>IF($A569="","",IF(AND(D569&lt;&gt;"Solo interés",C569=INDEX('Préstamos'!$G$2:$G$101,MATCH($A569,'Préstamos'!$A$2:$A$101,0))),INDEX('Préstamos'!$I$2:$I$101,MATCH($A569,'Préstamos'!$A$2:$A$101,0))-INDEX('Préstamos'!$K$2:$K$101,MATCH($A569,'Préstamos'!$A$2:$A$101,0))*(INDEX('Préstamos'!$G$2:$G$101,MATCH($A569,'Préstamos'!$A$2:$A$101,0))-1),INDEX('Préstamos'!$K$2:$K$101,MATCH($A569,'Préstamos'!$A$2:$A$101,0))))</f>
        <v/>
      </c>
      <c r="H569" s="29">
        <f>IF($A569="","",F569+G569)</f>
        <v/>
      </c>
      <c r="I569" s="14" t="n"/>
      <c r="J569" s="33" t="n"/>
      <c r="K569" s="16">
        <f>IF(OR($A569="",I569="Pagado"),"",MAX(0,TODAY()-E569))</f>
        <v/>
      </c>
      <c r="L569" s="16">
        <f>IF($A569="","",IF(I569="Pagado","Pagado",IF(E569&lt;TODAY(),"Atrasado",IF(E569&lt;=EOMONTH(TODAY(),0),"Este mes","Pendiente"))))</f>
        <v/>
      </c>
      <c r="M569" s="20">
        <f>IF(OR($A569="",I569="Pagado"),"",HYPERLINK("https://wa.me/"&amp;IF(INDEX('Préstamos'!$C$2:$C$101,MATCH($A569,'Préstamos'!$A$2:$A$101,0))="","","51"&amp;SUBSTITUTE(INDEX('Préstamos'!$C$2:$C$101,MATCH($A569,'Préstamos'!$A$2:$A$101,0))," ",""))&amp;"?text="&amp;SUBSTITUTE("Hola "&amp;B569&amp;", te recuerdo que tu cuota de S/ "&amp;H569&amp;IF(E569&lt;TODAY()," vencio el "," vence el ")&amp;TEXT(E569,"dd/mm")&amp;". Gracias!"," ","%20"),"WhatsApp"))</f>
        <v/>
      </c>
    </row>
    <row r="570">
      <c r="A570" s="14" t="n"/>
      <c r="B570" s="16">
        <f>IF($A570="","",INDEX('Préstamos'!$B$2:$B$101,MATCH($A570,'Préstamos'!$A$2:$A$101,0)))</f>
        <v/>
      </c>
      <c r="C570" s="14" t="n"/>
      <c r="D570" s="14" t="n"/>
      <c r="E570" s="33" t="n"/>
      <c r="F570" s="29">
        <f>IF($A570="","",IF(D570="Solo interés",0,IF(AND(D570&lt;&gt;"Solo interés",C570=INDEX('Préstamos'!$G$2:$G$101,MATCH($A570,'Préstamos'!$A$2:$A$101,0))),INDEX('Préstamos'!$D$2:$D$101,MATCH($A570,'Préstamos'!$A$2:$A$101,0))-INDEX('Préstamos'!$J$2:$J$101,MATCH($A570,'Préstamos'!$A$2:$A$101,0))*(INDEX('Préstamos'!$G$2:$G$101,MATCH($A570,'Préstamos'!$A$2:$A$101,0))-1),INDEX('Préstamos'!$J$2:$J$101,MATCH($A570,'Préstamos'!$A$2:$A$101,0)))))</f>
        <v/>
      </c>
      <c r="G570" s="29">
        <f>IF($A570="","",IF(AND(D570&lt;&gt;"Solo interés",C570=INDEX('Préstamos'!$G$2:$G$101,MATCH($A570,'Préstamos'!$A$2:$A$101,0))),INDEX('Préstamos'!$I$2:$I$101,MATCH($A570,'Préstamos'!$A$2:$A$101,0))-INDEX('Préstamos'!$K$2:$K$101,MATCH($A570,'Préstamos'!$A$2:$A$101,0))*(INDEX('Préstamos'!$G$2:$G$101,MATCH($A570,'Préstamos'!$A$2:$A$101,0))-1),INDEX('Préstamos'!$K$2:$K$101,MATCH($A570,'Préstamos'!$A$2:$A$101,0))))</f>
        <v/>
      </c>
      <c r="H570" s="29">
        <f>IF($A570="","",F570+G570)</f>
        <v/>
      </c>
      <c r="I570" s="14" t="n"/>
      <c r="J570" s="33" t="n"/>
      <c r="K570" s="16">
        <f>IF(OR($A570="",I570="Pagado"),"",MAX(0,TODAY()-E570))</f>
        <v/>
      </c>
      <c r="L570" s="16">
        <f>IF($A570="","",IF(I570="Pagado","Pagado",IF(E570&lt;TODAY(),"Atrasado",IF(E570&lt;=EOMONTH(TODAY(),0),"Este mes","Pendiente"))))</f>
        <v/>
      </c>
      <c r="M570" s="20">
        <f>IF(OR($A570="",I570="Pagado"),"",HYPERLINK("https://wa.me/"&amp;IF(INDEX('Préstamos'!$C$2:$C$101,MATCH($A570,'Préstamos'!$A$2:$A$101,0))="","","51"&amp;SUBSTITUTE(INDEX('Préstamos'!$C$2:$C$101,MATCH($A570,'Préstamos'!$A$2:$A$101,0))," ",""))&amp;"?text="&amp;SUBSTITUTE("Hola "&amp;B570&amp;", te recuerdo que tu cuota de S/ "&amp;H570&amp;IF(E570&lt;TODAY()," vencio el "," vence el ")&amp;TEXT(E570,"dd/mm")&amp;". Gracias!"," ","%20"),"WhatsApp"))</f>
        <v/>
      </c>
    </row>
    <row r="571">
      <c r="A571" s="14" t="n"/>
      <c r="B571" s="16">
        <f>IF($A571="","",INDEX('Préstamos'!$B$2:$B$101,MATCH($A571,'Préstamos'!$A$2:$A$101,0)))</f>
        <v/>
      </c>
      <c r="C571" s="14" t="n"/>
      <c r="D571" s="14" t="n"/>
      <c r="E571" s="33" t="n"/>
      <c r="F571" s="29">
        <f>IF($A571="","",IF(D571="Solo interés",0,IF(AND(D571&lt;&gt;"Solo interés",C571=INDEX('Préstamos'!$G$2:$G$101,MATCH($A571,'Préstamos'!$A$2:$A$101,0))),INDEX('Préstamos'!$D$2:$D$101,MATCH($A571,'Préstamos'!$A$2:$A$101,0))-INDEX('Préstamos'!$J$2:$J$101,MATCH($A571,'Préstamos'!$A$2:$A$101,0))*(INDEX('Préstamos'!$G$2:$G$101,MATCH($A571,'Préstamos'!$A$2:$A$101,0))-1),INDEX('Préstamos'!$J$2:$J$101,MATCH($A571,'Préstamos'!$A$2:$A$101,0)))))</f>
        <v/>
      </c>
      <c r="G571" s="29">
        <f>IF($A571="","",IF(AND(D571&lt;&gt;"Solo interés",C571=INDEX('Préstamos'!$G$2:$G$101,MATCH($A571,'Préstamos'!$A$2:$A$101,0))),INDEX('Préstamos'!$I$2:$I$101,MATCH($A571,'Préstamos'!$A$2:$A$101,0))-INDEX('Préstamos'!$K$2:$K$101,MATCH($A571,'Préstamos'!$A$2:$A$101,0))*(INDEX('Préstamos'!$G$2:$G$101,MATCH($A571,'Préstamos'!$A$2:$A$101,0))-1),INDEX('Préstamos'!$K$2:$K$101,MATCH($A571,'Préstamos'!$A$2:$A$101,0))))</f>
        <v/>
      </c>
      <c r="H571" s="29">
        <f>IF($A571="","",F571+G571)</f>
        <v/>
      </c>
      <c r="I571" s="14" t="n"/>
      <c r="J571" s="33" t="n"/>
      <c r="K571" s="16">
        <f>IF(OR($A571="",I571="Pagado"),"",MAX(0,TODAY()-E571))</f>
        <v/>
      </c>
      <c r="L571" s="16">
        <f>IF($A571="","",IF(I571="Pagado","Pagado",IF(E571&lt;TODAY(),"Atrasado",IF(E571&lt;=EOMONTH(TODAY(),0),"Este mes","Pendiente"))))</f>
        <v/>
      </c>
      <c r="M571" s="20">
        <f>IF(OR($A571="",I571="Pagado"),"",HYPERLINK("https://wa.me/"&amp;IF(INDEX('Préstamos'!$C$2:$C$101,MATCH($A571,'Préstamos'!$A$2:$A$101,0))="","","51"&amp;SUBSTITUTE(INDEX('Préstamos'!$C$2:$C$101,MATCH($A571,'Préstamos'!$A$2:$A$101,0))," ",""))&amp;"?text="&amp;SUBSTITUTE("Hola "&amp;B571&amp;", te recuerdo que tu cuota de S/ "&amp;H571&amp;IF(E571&lt;TODAY()," vencio el "," vence el ")&amp;TEXT(E571,"dd/mm")&amp;". Gracias!"," ","%20"),"WhatsApp"))</f>
        <v/>
      </c>
    </row>
    <row r="572">
      <c r="A572" s="14" t="n"/>
      <c r="B572" s="16">
        <f>IF($A572="","",INDEX('Préstamos'!$B$2:$B$101,MATCH($A572,'Préstamos'!$A$2:$A$101,0)))</f>
        <v/>
      </c>
      <c r="C572" s="14" t="n"/>
      <c r="D572" s="14" t="n"/>
      <c r="E572" s="33" t="n"/>
      <c r="F572" s="29">
        <f>IF($A572="","",IF(D572="Solo interés",0,IF(AND(D572&lt;&gt;"Solo interés",C572=INDEX('Préstamos'!$G$2:$G$101,MATCH($A572,'Préstamos'!$A$2:$A$101,0))),INDEX('Préstamos'!$D$2:$D$101,MATCH($A572,'Préstamos'!$A$2:$A$101,0))-INDEX('Préstamos'!$J$2:$J$101,MATCH($A572,'Préstamos'!$A$2:$A$101,0))*(INDEX('Préstamos'!$G$2:$G$101,MATCH($A572,'Préstamos'!$A$2:$A$101,0))-1),INDEX('Préstamos'!$J$2:$J$101,MATCH($A572,'Préstamos'!$A$2:$A$101,0)))))</f>
        <v/>
      </c>
      <c r="G572" s="29">
        <f>IF($A572="","",IF(AND(D572&lt;&gt;"Solo interés",C572=INDEX('Préstamos'!$G$2:$G$101,MATCH($A572,'Préstamos'!$A$2:$A$101,0))),INDEX('Préstamos'!$I$2:$I$101,MATCH($A572,'Préstamos'!$A$2:$A$101,0))-INDEX('Préstamos'!$K$2:$K$101,MATCH($A572,'Préstamos'!$A$2:$A$101,0))*(INDEX('Préstamos'!$G$2:$G$101,MATCH($A572,'Préstamos'!$A$2:$A$101,0))-1),INDEX('Préstamos'!$K$2:$K$101,MATCH($A572,'Préstamos'!$A$2:$A$101,0))))</f>
        <v/>
      </c>
      <c r="H572" s="29">
        <f>IF($A572="","",F572+G572)</f>
        <v/>
      </c>
      <c r="I572" s="14" t="n"/>
      <c r="J572" s="33" t="n"/>
      <c r="K572" s="16">
        <f>IF(OR($A572="",I572="Pagado"),"",MAX(0,TODAY()-E572))</f>
        <v/>
      </c>
      <c r="L572" s="16">
        <f>IF($A572="","",IF(I572="Pagado","Pagado",IF(E572&lt;TODAY(),"Atrasado",IF(E572&lt;=EOMONTH(TODAY(),0),"Este mes","Pendiente"))))</f>
        <v/>
      </c>
      <c r="M572" s="20">
        <f>IF(OR($A572="",I572="Pagado"),"",HYPERLINK("https://wa.me/"&amp;IF(INDEX('Préstamos'!$C$2:$C$101,MATCH($A572,'Préstamos'!$A$2:$A$101,0))="","","51"&amp;SUBSTITUTE(INDEX('Préstamos'!$C$2:$C$101,MATCH($A572,'Préstamos'!$A$2:$A$101,0))," ",""))&amp;"?text="&amp;SUBSTITUTE("Hola "&amp;B572&amp;", te recuerdo que tu cuota de S/ "&amp;H572&amp;IF(E572&lt;TODAY()," vencio el "," vence el ")&amp;TEXT(E572,"dd/mm")&amp;". Gracias!"," ","%20"),"WhatsApp"))</f>
        <v/>
      </c>
    </row>
    <row r="573">
      <c r="A573" s="14" t="n"/>
      <c r="B573" s="16">
        <f>IF($A573="","",INDEX('Préstamos'!$B$2:$B$101,MATCH($A573,'Préstamos'!$A$2:$A$101,0)))</f>
        <v/>
      </c>
      <c r="C573" s="14" t="n"/>
      <c r="D573" s="14" t="n"/>
      <c r="E573" s="33" t="n"/>
      <c r="F573" s="29">
        <f>IF($A573="","",IF(D573="Solo interés",0,IF(AND(D573&lt;&gt;"Solo interés",C573=INDEX('Préstamos'!$G$2:$G$101,MATCH($A573,'Préstamos'!$A$2:$A$101,0))),INDEX('Préstamos'!$D$2:$D$101,MATCH($A573,'Préstamos'!$A$2:$A$101,0))-INDEX('Préstamos'!$J$2:$J$101,MATCH($A573,'Préstamos'!$A$2:$A$101,0))*(INDEX('Préstamos'!$G$2:$G$101,MATCH($A573,'Préstamos'!$A$2:$A$101,0))-1),INDEX('Préstamos'!$J$2:$J$101,MATCH($A573,'Préstamos'!$A$2:$A$101,0)))))</f>
        <v/>
      </c>
      <c r="G573" s="29">
        <f>IF($A573="","",IF(AND(D573&lt;&gt;"Solo interés",C573=INDEX('Préstamos'!$G$2:$G$101,MATCH($A573,'Préstamos'!$A$2:$A$101,0))),INDEX('Préstamos'!$I$2:$I$101,MATCH($A573,'Préstamos'!$A$2:$A$101,0))-INDEX('Préstamos'!$K$2:$K$101,MATCH($A573,'Préstamos'!$A$2:$A$101,0))*(INDEX('Préstamos'!$G$2:$G$101,MATCH($A573,'Préstamos'!$A$2:$A$101,0))-1),INDEX('Préstamos'!$K$2:$K$101,MATCH($A573,'Préstamos'!$A$2:$A$101,0))))</f>
        <v/>
      </c>
      <c r="H573" s="29">
        <f>IF($A573="","",F573+G573)</f>
        <v/>
      </c>
      <c r="I573" s="14" t="n"/>
      <c r="J573" s="33" t="n"/>
      <c r="K573" s="16">
        <f>IF(OR($A573="",I573="Pagado"),"",MAX(0,TODAY()-E573))</f>
        <v/>
      </c>
      <c r="L573" s="16">
        <f>IF($A573="","",IF(I573="Pagado","Pagado",IF(E573&lt;TODAY(),"Atrasado",IF(E573&lt;=EOMONTH(TODAY(),0),"Este mes","Pendiente"))))</f>
        <v/>
      </c>
      <c r="M573" s="20">
        <f>IF(OR($A573="",I573="Pagado"),"",HYPERLINK("https://wa.me/"&amp;IF(INDEX('Préstamos'!$C$2:$C$101,MATCH($A573,'Préstamos'!$A$2:$A$101,0))="","","51"&amp;SUBSTITUTE(INDEX('Préstamos'!$C$2:$C$101,MATCH($A573,'Préstamos'!$A$2:$A$101,0))," ",""))&amp;"?text="&amp;SUBSTITUTE("Hola "&amp;B573&amp;", te recuerdo que tu cuota de S/ "&amp;H573&amp;IF(E573&lt;TODAY()," vencio el "," vence el ")&amp;TEXT(E573,"dd/mm")&amp;". Gracias!"," ","%20"),"WhatsApp"))</f>
        <v/>
      </c>
    </row>
    <row r="574">
      <c r="A574" s="14" t="n"/>
      <c r="B574" s="16">
        <f>IF($A574="","",INDEX('Préstamos'!$B$2:$B$101,MATCH($A574,'Préstamos'!$A$2:$A$101,0)))</f>
        <v/>
      </c>
      <c r="C574" s="14" t="n"/>
      <c r="D574" s="14" t="n"/>
      <c r="E574" s="33" t="n"/>
      <c r="F574" s="29">
        <f>IF($A574="","",IF(D574="Solo interés",0,IF(AND(D574&lt;&gt;"Solo interés",C574=INDEX('Préstamos'!$G$2:$G$101,MATCH($A574,'Préstamos'!$A$2:$A$101,0))),INDEX('Préstamos'!$D$2:$D$101,MATCH($A574,'Préstamos'!$A$2:$A$101,0))-INDEX('Préstamos'!$J$2:$J$101,MATCH($A574,'Préstamos'!$A$2:$A$101,0))*(INDEX('Préstamos'!$G$2:$G$101,MATCH($A574,'Préstamos'!$A$2:$A$101,0))-1),INDEX('Préstamos'!$J$2:$J$101,MATCH($A574,'Préstamos'!$A$2:$A$101,0)))))</f>
        <v/>
      </c>
      <c r="G574" s="29">
        <f>IF($A574="","",IF(AND(D574&lt;&gt;"Solo interés",C574=INDEX('Préstamos'!$G$2:$G$101,MATCH($A574,'Préstamos'!$A$2:$A$101,0))),INDEX('Préstamos'!$I$2:$I$101,MATCH($A574,'Préstamos'!$A$2:$A$101,0))-INDEX('Préstamos'!$K$2:$K$101,MATCH($A574,'Préstamos'!$A$2:$A$101,0))*(INDEX('Préstamos'!$G$2:$G$101,MATCH($A574,'Préstamos'!$A$2:$A$101,0))-1),INDEX('Préstamos'!$K$2:$K$101,MATCH($A574,'Préstamos'!$A$2:$A$101,0))))</f>
        <v/>
      </c>
      <c r="H574" s="29">
        <f>IF($A574="","",F574+G574)</f>
        <v/>
      </c>
      <c r="I574" s="14" t="n"/>
      <c r="J574" s="33" t="n"/>
      <c r="K574" s="16">
        <f>IF(OR($A574="",I574="Pagado"),"",MAX(0,TODAY()-E574))</f>
        <v/>
      </c>
      <c r="L574" s="16">
        <f>IF($A574="","",IF(I574="Pagado","Pagado",IF(E574&lt;TODAY(),"Atrasado",IF(E574&lt;=EOMONTH(TODAY(),0),"Este mes","Pendiente"))))</f>
        <v/>
      </c>
      <c r="M574" s="20">
        <f>IF(OR($A574="",I574="Pagado"),"",HYPERLINK("https://wa.me/"&amp;IF(INDEX('Préstamos'!$C$2:$C$101,MATCH($A574,'Préstamos'!$A$2:$A$101,0))="","","51"&amp;SUBSTITUTE(INDEX('Préstamos'!$C$2:$C$101,MATCH($A574,'Préstamos'!$A$2:$A$101,0))," ",""))&amp;"?text="&amp;SUBSTITUTE("Hola "&amp;B574&amp;", te recuerdo que tu cuota de S/ "&amp;H574&amp;IF(E574&lt;TODAY()," vencio el "," vence el ")&amp;TEXT(E574,"dd/mm")&amp;". Gracias!"," ","%20"),"WhatsApp"))</f>
        <v/>
      </c>
    </row>
    <row r="575">
      <c r="A575" s="14" t="n"/>
      <c r="B575" s="16">
        <f>IF($A575="","",INDEX('Préstamos'!$B$2:$B$101,MATCH($A575,'Préstamos'!$A$2:$A$101,0)))</f>
        <v/>
      </c>
      <c r="C575" s="14" t="n"/>
      <c r="D575" s="14" t="n"/>
      <c r="E575" s="33" t="n"/>
      <c r="F575" s="29">
        <f>IF($A575="","",IF(D575="Solo interés",0,IF(AND(D575&lt;&gt;"Solo interés",C575=INDEX('Préstamos'!$G$2:$G$101,MATCH($A575,'Préstamos'!$A$2:$A$101,0))),INDEX('Préstamos'!$D$2:$D$101,MATCH($A575,'Préstamos'!$A$2:$A$101,0))-INDEX('Préstamos'!$J$2:$J$101,MATCH($A575,'Préstamos'!$A$2:$A$101,0))*(INDEX('Préstamos'!$G$2:$G$101,MATCH($A575,'Préstamos'!$A$2:$A$101,0))-1),INDEX('Préstamos'!$J$2:$J$101,MATCH($A575,'Préstamos'!$A$2:$A$101,0)))))</f>
        <v/>
      </c>
      <c r="G575" s="29">
        <f>IF($A575="","",IF(AND(D575&lt;&gt;"Solo interés",C575=INDEX('Préstamos'!$G$2:$G$101,MATCH($A575,'Préstamos'!$A$2:$A$101,0))),INDEX('Préstamos'!$I$2:$I$101,MATCH($A575,'Préstamos'!$A$2:$A$101,0))-INDEX('Préstamos'!$K$2:$K$101,MATCH($A575,'Préstamos'!$A$2:$A$101,0))*(INDEX('Préstamos'!$G$2:$G$101,MATCH($A575,'Préstamos'!$A$2:$A$101,0))-1),INDEX('Préstamos'!$K$2:$K$101,MATCH($A575,'Préstamos'!$A$2:$A$101,0))))</f>
        <v/>
      </c>
      <c r="H575" s="29">
        <f>IF($A575="","",F575+G575)</f>
        <v/>
      </c>
      <c r="I575" s="14" t="n"/>
      <c r="J575" s="33" t="n"/>
      <c r="K575" s="16">
        <f>IF(OR($A575="",I575="Pagado"),"",MAX(0,TODAY()-E575))</f>
        <v/>
      </c>
      <c r="L575" s="16">
        <f>IF($A575="","",IF(I575="Pagado","Pagado",IF(E575&lt;TODAY(),"Atrasado",IF(E575&lt;=EOMONTH(TODAY(),0),"Este mes","Pendiente"))))</f>
        <v/>
      </c>
      <c r="M575" s="20">
        <f>IF(OR($A575="",I575="Pagado"),"",HYPERLINK("https://wa.me/"&amp;IF(INDEX('Préstamos'!$C$2:$C$101,MATCH($A575,'Préstamos'!$A$2:$A$101,0))="","","51"&amp;SUBSTITUTE(INDEX('Préstamos'!$C$2:$C$101,MATCH($A575,'Préstamos'!$A$2:$A$101,0))," ",""))&amp;"?text="&amp;SUBSTITUTE("Hola "&amp;B575&amp;", te recuerdo que tu cuota de S/ "&amp;H575&amp;IF(E575&lt;TODAY()," vencio el "," vence el ")&amp;TEXT(E575,"dd/mm")&amp;". Gracias!"," ","%20"),"WhatsApp"))</f>
        <v/>
      </c>
    </row>
    <row r="576">
      <c r="A576" s="14" t="n"/>
      <c r="B576" s="16">
        <f>IF($A576="","",INDEX('Préstamos'!$B$2:$B$101,MATCH($A576,'Préstamos'!$A$2:$A$101,0)))</f>
        <v/>
      </c>
      <c r="C576" s="14" t="n"/>
      <c r="D576" s="14" t="n"/>
      <c r="E576" s="33" t="n"/>
      <c r="F576" s="29">
        <f>IF($A576="","",IF(D576="Solo interés",0,IF(AND(D576&lt;&gt;"Solo interés",C576=INDEX('Préstamos'!$G$2:$G$101,MATCH($A576,'Préstamos'!$A$2:$A$101,0))),INDEX('Préstamos'!$D$2:$D$101,MATCH($A576,'Préstamos'!$A$2:$A$101,0))-INDEX('Préstamos'!$J$2:$J$101,MATCH($A576,'Préstamos'!$A$2:$A$101,0))*(INDEX('Préstamos'!$G$2:$G$101,MATCH($A576,'Préstamos'!$A$2:$A$101,0))-1),INDEX('Préstamos'!$J$2:$J$101,MATCH($A576,'Préstamos'!$A$2:$A$101,0)))))</f>
        <v/>
      </c>
      <c r="G576" s="29">
        <f>IF($A576="","",IF(AND(D576&lt;&gt;"Solo interés",C576=INDEX('Préstamos'!$G$2:$G$101,MATCH($A576,'Préstamos'!$A$2:$A$101,0))),INDEX('Préstamos'!$I$2:$I$101,MATCH($A576,'Préstamos'!$A$2:$A$101,0))-INDEX('Préstamos'!$K$2:$K$101,MATCH($A576,'Préstamos'!$A$2:$A$101,0))*(INDEX('Préstamos'!$G$2:$G$101,MATCH($A576,'Préstamos'!$A$2:$A$101,0))-1),INDEX('Préstamos'!$K$2:$K$101,MATCH($A576,'Préstamos'!$A$2:$A$101,0))))</f>
        <v/>
      </c>
      <c r="H576" s="29">
        <f>IF($A576="","",F576+G576)</f>
        <v/>
      </c>
      <c r="I576" s="14" t="n"/>
      <c r="J576" s="33" t="n"/>
      <c r="K576" s="16">
        <f>IF(OR($A576="",I576="Pagado"),"",MAX(0,TODAY()-E576))</f>
        <v/>
      </c>
      <c r="L576" s="16">
        <f>IF($A576="","",IF(I576="Pagado","Pagado",IF(E576&lt;TODAY(),"Atrasado",IF(E576&lt;=EOMONTH(TODAY(),0),"Este mes","Pendiente"))))</f>
        <v/>
      </c>
      <c r="M576" s="20">
        <f>IF(OR($A576="",I576="Pagado"),"",HYPERLINK("https://wa.me/"&amp;IF(INDEX('Préstamos'!$C$2:$C$101,MATCH($A576,'Préstamos'!$A$2:$A$101,0))="","","51"&amp;SUBSTITUTE(INDEX('Préstamos'!$C$2:$C$101,MATCH($A576,'Préstamos'!$A$2:$A$101,0))," ",""))&amp;"?text="&amp;SUBSTITUTE("Hola "&amp;B576&amp;", te recuerdo que tu cuota de S/ "&amp;H576&amp;IF(E576&lt;TODAY()," vencio el "," vence el ")&amp;TEXT(E576,"dd/mm")&amp;". Gracias!"," ","%20"),"WhatsApp"))</f>
        <v/>
      </c>
    </row>
    <row r="577">
      <c r="A577" s="14" t="n"/>
      <c r="B577" s="16">
        <f>IF($A577="","",INDEX('Préstamos'!$B$2:$B$101,MATCH($A577,'Préstamos'!$A$2:$A$101,0)))</f>
        <v/>
      </c>
      <c r="C577" s="14" t="n"/>
      <c r="D577" s="14" t="n"/>
      <c r="E577" s="33" t="n"/>
      <c r="F577" s="29">
        <f>IF($A577="","",IF(D577="Solo interés",0,IF(AND(D577&lt;&gt;"Solo interés",C577=INDEX('Préstamos'!$G$2:$G$101,MATCH($A577,'Préstamos'!$A$2:$A$101,0))),INDEX('Préstamos'!$D$2:$D$101,MATCH($A577,'Préstamos'!$A$2:$A$101,0))-INDEX('Préstamos'!$J$2:$J$101,MATCH($A577,'Préstamos'!$A$2:$A$101,0))*(INDEX('Préstamos'!$G$2:$G$101,MATCH($A577,'Préstamos'!$A$2:$A$101,0))-1),INDEX('Préstamos'!$J$2:$J$101,MATCH($A577,'Préstamos'!$A$2:$A$101,0)))))</f>
        <v/>
      </c>
      <c r="G577" s="29">
        <f>IF($A577="","",IF(AND(D577&lt;&gt;"Solo interés",C577=INDEX('Préstamos'!$G$2:$G$101,MATCH($A577,'Préstamos'!$A$2:$A$101,0))),INDEX('Préstamos'!$I$2:$I$101,MATCH($A577,'Préstamos'!$A$2:$A$101,0))-INDEX('Préstamos'!$K$2:$K$101,MATCH($A577,'Préstamos'!$A$2:$A$101,0))*(INDEX('Préstamos'!$G$2:$G$101,MATCH($A577,'Préstamos'!$A$2:$A$101,0))-1),INDEX('Préstamos'!$K$2:$K$101,MATCH($A577,'Préstamos'!$A$2:$A$101,0))))</f>
        <v/>
      </c>
      <c r="H577" s="29">
        <f>IF($A577="","",F577+G577)</f>
        <v/>
      </c>
      <c r="I577" s="14" t="n"/>
      <c r="J577" s="33" t="n"/>
      <c r="K577" s="16">
        <f>IF(OR($A577="",I577="Pagado"),"",MAX(0,TODAY()-E577))</f>
        <v/>
      </c>
      <c r="L577" s="16">
        <f>IF($A577="","",IF(I577="Pagado","Pagado",IF(E577&lt;TODAY(),"Atrasado",IF(E577&lt;=EOMONTH(TODAY(),0),"Este mes","Pendiente"))))</f>
        <v/>
      </c>
      <c r="M577" s="20">
        <f>IF(OR($A577="",I577="Pagado"),"",HYPERLINK("https://wa.me/"&amp;IF(INDEX('Préstamos'!$C$2:$C$101,MATCH($A577,'Préstamos'!$A$2:$A$101,0))="","","51"&amp;SUBSTITUTE(INDEX('Préstamos'!$C$2:$C$101,MATCH($A577,'Préstamos'!$A$2:$A$101,0))," ",""))&amp;"?text="&amp;SUBSTITUTE("Hola "&amp;B577&amp;", te recuerdo que tu cuota de S/ "&amp;H577&amp;IF(E577&lt;TODAY()," vencio el "," vence el ")&amp;TEXT(E577,"dd/mm")&amp;". Gracias!"," ","%20"),"WhatsApp"))</f>
        <v/>
      </c>
    </row>
    <row r="578">
      <c r="A578" s="14" t="n"/>
      <c r="B578" s="16">
        <f>IF($A578="","",INDEX('Préstamos'!$B$2:$B$101,MATCH($A578,'Préstamos'!$A$2:$A$101,0)))</f>
        <v/>
      </c>
      <c r="C578" s="14" t="n"/>
      <c r="D578" s="14" t="n"/>
      <c r="E578" s="33" t="n"/>
      <c r="F578" s="29">
        <f>IF($A578="","",IF(D578="Solo interés",0,IF(AND(D578&lt;&gt;"Solo interés",C578=INDEX('Préstamos'!$G$2:$G$101,MATCH($A578,'Préstamos'!$A$2:$A$101,0))),INDEX('Préstamos'!$D$2:$D$101,MATCH($A578,'Préstamos'!$A$2:$A$101,0))-INDEX('Préstamos'!$J$2:$J$101,MATCH($A578,'Préstamos'!$A$2:$A$101,0))*(INDEX('Préstamos'!$G$2:$G$101,MATCH($A578,'Préstamos'!$A$2:$A$101,0))-1),INDEX('Préstamos'!$J$2:$J$101,MATCH($A578,'Préstamos'!$A$2:$A$101,0)))))</f>
        <v/>
      </c>
      <c r="G578" s="29">
        <f>IF($A578="","",IF(AND(D578&lt;&gt;"Solo interés",C578=INDEX('Préstamos'!$G$2:$G$101,MATCH($A578,'Préstamos'!$A$2:$A$101,0))),INDEX('Préstamos'!$I$2:$I$101,MATCH($A578,'Préstamos'!$A$2:$A$101,0))-INDEX('Préstamos'!$K$2:$K$101,MATCH($A578,'Préstamos'!$A$2:$A$101,0))*(INDEX('Préstamos'!$G$2:$G$101,MATCH($A578,'Préstamos'!$A$2:$A$101,0))-1),INDEX('Préstamos'!$K$2:$K$101,MATCH($A578,'Préstamos'!$A$2:$A$101,0))))</f>
        <v/>
      </c>
      <c r="H578" s="29">
        <f>IF($A578="","",F578+G578)</f>
        <v/>
      </c>
      <c r="I578" s="14" t="n"/>
      <c r="J578" s="33" t="n"/>
      <c r="K578" s="16">
        <f>IF(OR($A578="",I578="Pagado"),"",MAX(0,TODAY()-E578))</f>
        <v/>
      </c>
      <c r="L578" s="16">
        <f>IF($A578="","",IF(I578="Pagado","Pagado",IF(E578&lt;TODAY(),"Atrasado",IF(E578&lt;=EOMONTH(TODAY(),0),"Este mes","Pendiente"))))</f>
        <v/>
      </c>
      <c r="M578" s="20">
        <f>IF(OR($A578="",I578="Pagado"),"",HYPERLINK("https://wa.me/"&amp;IF(INDEX('Préstamos'!$C$2:$C$101,MATCH($A578,'Préstamos'!$A$2:$A$101,0))="","","51"&amp;SUBSTITUTE(INDEX('Préstamos'!$C$2:$C$101,MATCH($A578,'Préstamos'!$A$2:$A$101,0))," ",""))&amp;"?text="&amp;SUBSTITUTE("Hola "&amp;B578&amp;", te recuerdo que tu cuota de S/ "&amp;H578&amp;IF(E578&lt;TODAY()," vencio el "," vence el ")&amp;TEXT(E578,"dd/mm")&amp;". Gracias!"," ","%20"),"WhatsApp"))</f>
        <v/>
      </c>
    </row>
    <row r="579">
      <c r="A579" s="14" t="n"/>
      <c r="B579" s="16">
        <f>IF($A579="","",INDEX('Préstamos'!$B$2:$B$101,MATCH($A579,'Préstamos'!$A$2:$A$101,0)))</f>
        <v/>
      </c>
      <c r="C579" s="14" t="n"/>
      <c r="D579" s="14" t="n"/>
      <c r="E579" s="33" t="n"/>
      <c r="F579" s="29">
        <f>IF($A579="","",IF(D579="Solo interés",0,IF(AND(D579&lt;&gt;"Solo interés",C579=INDEX('Préstamos'!$G$2:$G$101,MATCH($A579,'Préstamos'!$A$2:$A$101,0))),INDEX('Préstamos'!$D$2:$D$101,MATCH($A579,'Préstamos'!$A$2:$A$101,0))-INDEX('Préstamos'!$J$2:$J$101,MATCH($A579,'Préstamos'!$A$2:$A$101,0))*(INDEX('Préstamos'!$G$2:$G$101,MATCH($A579,'Préstamos'!$A$2:$A$101,0))-1),INDEX('Préstamos'!$J$2:$J$101,MATCH($A579,'Préstamos'!$A$2:$A$101,0)))))</f>
        <v/>
      </c>
      <c r="G579" s="29">
        <f>IF($A579="","",IF(AND(D579&lt;&gt;"Solo interés",C579=INDEX('Préstamos'!$G$2:$G$101,MATCH($A579,'Préstamos'!$A$2:$A$101,0))),INDEX('Préstamos'!$I$2:$I$101,MATCH($A579,'Préstamos'!$A$2:$A$101,0))-INDEX('Préstamos'!$K$2:$K$101,MATCH($A579,'Préstamos'!$A$2:$A$101,0))*(INDEX('Préstamos'!$G$2:$G$101,MATCH($A579,'Préstamos'!$A$2:$A$101,0))-1),INDEX('Préstamos'!$K$2:$K$101,MATCH($A579,'Préstamos'!$A$2:$A$101,0))))</f>
        <v/>
      </c>
      <c r="H579" s="29">
        <f>IF($A579="","",F579+G579)</f>
        <v/>
      </c>
      <c r="I579" s="14" t="n"/>
      <c r="J579" s="33" t="n"/>
      <c r="K579" s="16">
        <f>IF(OR($A579="",I579="Pagado"),"",MAX(0,TODAY()-E579))</f>
        <v/>
      </c>
      <c r="L579" s="16">
        <f>IF($A579="","",IF(I579="Pagado","Pagado",IF(E579&lt;TODAY(),"Atrasado",IF(E579&lt;=EOMONTH(TODAY(),0),"Este mes","Pendiente"))))</f>
        <v/>
      </c>
      <c r="M579" s="20">
        <f>IF(OR($A579="",I579="Pagado"),"",HYPERLINK("https://wa.me/"&amp;IF(INDEX('Préstamos'!$C$2:$C$101,MATCH($A579,'Préstamos'!$A$2:$A$101,0))="","","51"&amp;SUBSTITUTE(INDEX('Préstamos'!$C$2:$C$101,MATCH($A579,'Préstamos'!$A$2:$A$101,0))," ",""))&amp;"?text="&amp;SUBSTITUTE("Hola "&amp;B579&amp;", te recuerdo que tu cuota de S/ "&amp;H579&amp;IF(E579&lt;TODAY()," vencio el "," vence el ")&amp;TEXT(E579,"dd/mm")&amp;". Gracias!"," ","%20"),"WhatsApp"))</f>
        <v/>
      </c>
    </row>
    <row r="580">
      <c r="A580" s="14" t="n"/>
      <c r="B580" s="16">
        <f>IF($A580="","",INDEX('Préstamos'!$B$2:$B$101,MATCH($A580,'Préstamos'!$A$2:$A$101,0)))</f>
        <v/>
      </c>
      <c r="C580" s="14" t="n"/>
      <c r="D580" s="14" t="n"/>
      <c r="E580" s="33" t="n"/>
      <c r="F580" s="29">
        <f>IF($A580="","",IF(D580="Solo interés",0,IF(AND(D580&lt;&gt;"Solo interés",C580=INDEX('Préstamos'!$G$2:$G$101,MATCH($A580,'Préstamos'!$A$2:$A$101,0))),INDEX('Préstamos'!$D$2:$D$101,MATCH($A580,'Préstamos'!$A$2:$A$101,0))-INDEX('Préstamos'!$J$2:$J$101,MATCH($A580,'Préstamos'!$A$2:$A$101,0))*(INDEX('Préstamos'!$G$2:$G$101,MATCH($A580,'Préstamos'!$A$2:$A$101,0))-1),INDEX('Préstamos'!$J$2:$J$101,MATCH($A580,'Préstamos'!$A$2:$A$101,0)))))</f>
        <v/>
      </c>
      <c r="G580" s="29">
        <f>IF($A580="","",IF(AND(D580&lt;&gt;"Solo interés",C580=INDEX('Préstamos'!$G$2:$G$101,MATCH($A580,'Préstamos'!$A$2:$A$101,0))),INDEX('Préstamos'!$I$2:$I$101,MATCH($A580,'Préstamos'!$A$2:$A$101,0))-INDEX('Préstamos'!$K$2:$K$101,MATCH($A580,'Préstamos'!$A$2:$A$101,0))*(INDEX('Préstamos'!$G$2:$G$101,MATCH($A580,'Préstamos'!$A$2:$A$101,0))-1),INDEX('Préstamos'!$K$2:$K$101,MATCH($A580,'Préstamos'!$A$2:$A$101,0))))</f>
        <v/>
      </c>
      <c r="H580" s="29">
        <f>IF($A580="","",F580+G580)</f>
        <v/>
      </c>
      <c r="I580" s="14" t="n"/>
      <c r="J580" s="33" t="n"/>
      <c r="K580" s="16">
        <f>IF(OR($A580="",I580="Pagado"),"",MAX(0,TODAY()-E580))</f>
        <v/>
      </c>
      <c r="L580" s="16">
        <f>IF($A580="","",IF(I580="Pagado","Pagado",IF(E580&lt;TODAY(),"Atrasado",IF(E580&lt;=EOMONTH(TODAY(),0),"Este mes","Pendiente"))))</f>
        <v/>
      </c>
      <c r="M580" s="20">
        <f>IF(OR($A580="",I580="Pagado"),"",HYPERLINK("https://wa.me/"&amp;IF(INDEX('Préstamos'!$C$2:$C$101,MATCH($A580,'Préstamos'!$A$2:$A$101,0))="","","51"&amp;SUBSTITUTE(INDEX('Préstamos'!$C$2:$C$101,MATCH($A580,'Préstamos'!$A$2:$A$101,0))," ",""))&amp;"?text="&amp;SUBSTITUTE("Hola "&amp;B580&amp;", te recuerdo que tu cuota de S/ "&amp;H580&amp;IF(E580&lt;TODAY()," vencio el "," vence el ")&amp;TEXT(E580,"dd/mm")&amp;". Gracias!"," ","%20"),"WhatsApp"))</f>
        <v/>
      </c>
    </row>
    <row r="581">
      <c r="A581" s="14" t="n"/>
      <c r="B581" s="16">
        <f>IF($A581="","",INDEX('Préstamos'!$B$2:$B$101,MATCH($A581,'Préstamos'!$A$2:$A$101,0)))</f>
        <v/>
      </c>
      <c r="C581" s="14" t="n"/>
      <c r="D581" s="14" t="n"/>
      <c r="E581" s="33" t="n"/>
      <c r="F581" s="29">
        <f>IF($A581="","",IF(D581="Solo interés",0,IF(AND(D581&lt;&gt;"Solo interés",C581=INDEX('Préstamos'!$G$2:$G$101,MATCH($A581,'Préstamos'!$A$2:$A$101,0))),INDEX('Préstamos'!$D$2:$D$101,MATCH($A581,'Préstamos'!$A$2:$A$101,0))-INDEX('Préstamos'!$J$2:$J$101,MATCH($A581,'Préstamos'!$A$2:$A$101,0))*(INDEX('Préstamos'!$G$2:$G$101,MATCH($A581,'Préstamos'!$A$2:$A$101,0))-1),INDEX('Préstamos'!$J$2:$J$101,MATCH($A581,'Préstamos'!$A$2:$A$101,0)))))</f>
        <v/>
      </c>
      <c r="G581" s="29">
        <f>IF($A581="","",IF(AND(D581&lt;&gt;"Solo interés",C581=INDEX('Préstamos'!$G$2:$G$101,MATCH($A581,'Préstamos'!$A$2:$A$101,0))),INDEX('Préstamos'!$I$2:$I$101,MATCH($A581,'Préstamos'!$A$2:$A$101,0))-INDEX('Préstamos'!$K$2:$K$101,MATCH($A581,'Préstamos'!$A$2:$A$101,0))*(INDEX('Préstamos'!$G$2:$G$101,MATCH($A581,'Préstamos'!$A$2:$A$101,0))-1),INDEX('Préstamos'!$K$2:$K$101,MATCH($A581,'Préstamos'!$A$2:$A$101,0))))</f>
        <v/>
      </c>
      <c r="H581" s="29">
        <f>IF($A581="","",F581+G581)</f>
        <v/>
      </c>
      <c r="I581" s="14" t="n"/>
      <c r="J581" s="33" t="n"/>
      <c r="K581" s="16">
        <f>IF(OR($A581="",I581="Pagado"),"",MAX(0,TODAY()-E581))</f>
        <v/>
      </c>
      <c r="L581" s="16">
        <f>IF($A581="","",IF(I581="Pagado","Pagado",IF(E581&lt;TODAY(),"Atrasado",IF(E581&lt;=EOMONTH(TODAY(),0),"Este mes","Pendiente"))))</f>
        <v/>
      </c>
      <c r="M581" s="20">
        <f>IF(OR($A581="",I581="Pagado"),"",HYPERLINK("https://wa.me/"&amp;IF(INDEX('Préstamos'!$C$2:$C$101,MATCH($A581,'Préstamos'!$A$2:$A$101,0))="","","51"&amp;SUBSTITUTE(INDEX('Préstamos'!$C$2:$C$101,MATCH($A581,'Préstamos'!$A$2:$A$101,0))," ",""))&amp;"?text="&amp;SUBSTITUTE("Hola "&amp;B581&amp;", te recuerdo que tu cuota de S/ "&amp;H581&amp;IF(E581&lt;TODAY()," vencio el "," vence el ")&amp;TEXT(E581,"dd/mm")&amp;". Gracias!"," ","%20"),"WhatsApp"))</f>
        <v/>
      </c>
    </row>
    <row r="582">
      <c r="A582" s="14" t="n"/>
      <c r="B582" s="16">
        <f>IF($A582="","",INDEX('Préstamos'!$B$2:$B$101,MATCH($A582,'Préstamos'!$A$2:$A$101,0)))</f>
        <v/>
      </c>
      <c r="C582" s="14" t="n"/>
      <c r="D582" s="14" t="n"/>
      <c r="E582" s="33" t="n"/>
      <c r="F582" s="29">
        <f>IF($A582="","",IF(D582="Solo interés",0,IF(AND(D582&lt;&gt;"Solo interés",C582=INDEX('Préstamos'!$G$2:$G$101,MATCH($A582,'Préstamos'!$A$2:$A$101,0))),INDEX('Préstamos'!$D$2:$D$101,MATCH($A582,'Préstamos'!$A$2:$A$101,0))-INDEX('Préstamos'!$J$2:$J$101,MATCH($A582,'Préstamos'!$A$2:$A$101,0))*(INDEX('Préstamos'!$G$2:$G$101,MATCH($A582,'Préstamos'!$A$2:$A$101,0))-1),INDEX('Préstamos'!$J$2:$J$101,MATCH($A582,'Préstamos'!$A$2:$A$101,0)))))</f>
        <v/>
      </c>
      <c r="G582" s="29">
        <f>IF($A582="","",IF(AND(D582&lt;&gt;"Solo interés",C582=INDEX('Préstamos'!$G$2:$G$101,MATCH($A582,'Préstamos'!$A$2:$A$101,0))),INDEX('Préstamos'!$I$2:$I$101,MATCH($A582,'Préstamos'!$A$2:$A$101,0))-INDEX('Préstamos'!$K$2:$K$101,MATCH($A582,'Préstamos'!$A$2:$A$101,0))*(INDEX('Préstamos'!$G$2:$G$101,MATCH($A582,'Préstamos'!$A$2:$A$101,0))-1),INDEX('Préstamos'!$K$2:$K$101,MATCH($A582,'Préstamos'!$A$2:$A$101,0))))</f>
        <v/>
      </c>
      <c r="H582" s="29">
        <f>IF($A582="","",F582+G582)</f>
        <v/>
      </c>
      <c r="I582" s="14" t="n"/>
      <c r="J582" s="33" t="n"/>
      <c r="K582" s="16">
        <f>IF(OR($A582="",I582="Pagado"),"",MAX(0,TODAY()-E582))</f>
        <v/>
      </c>
      <c r="L582" s="16">
        <f>IF($A582="","",IF(I582="Pagado","Pagado",IF(E582&lt;TODAY(),"Atrasado",IF(E582&lt;=EOMONTH(TODAY(),0),"Este mes","Pendiente"))))</f>
        <v/>
      </c>
      <c r="M582" s="20">
        <f>IF(OR($A582="",I582="Pagado"),"",HYPERLINK("https://wa.me/"&amp;IF(INDEX('Préstamos'!$C$2:$C$101,MATCH($A582,'Préstamos'!$A$2:$A$101,0))="","","51"&amp;SUBSTITUTE(INDEX('Préstamos'!$C$2:$C$101,MATCH($A582,'Préstamos'!$A$2:$A$101,0))," ",""))&amp;"?text="&amp;SUBSTITUTE("Hola "&amp;B582&amp;", te recuerdo que tu cuota de S/ "&amp;H582&amp;IF(E582&lt;TODAY()," vencio el "," vence el ")&amp;TEXT(E582,"dd/mm")&amp;". Gracias!"," ","%20"),"WhatsApp"))</f>
        <v/>
      </c>
    </row>
    <row r="583">
      <c r="A583" s="14" t="n"/>
      <c r="B583" s="16">
        <f>IF($A583="","",INDEX('Préstamos'!$B$2:$B$101,MATCH($A583,'Préstamos'!$A$2:$A$101,0)))</f>
        <v/>
      </c>
      <c r="C583" s="14" t="n"/>
      <c r="D583" s="14" t="n"/>
      <c r="E583" s="33" t="n"/>
      <c r="F583" s="29">
        <f>IF($A583="","",IF(D583="Solo interés",0,IF(AND(D583&lt;&gt;"Solo interés",C583=INDEX('Préstamos'!$G$2:$G$101,MATCH($A583,'Préstamos'!$A$2:$A$101,0))),INDEX('Préstamos'!$D$2:$D$101,MATCH($A583,'Préstamos'!$A$2:$A$101,0))-INDEX('Préstamos'!$J$2:$J$101,MATCH($A583,'Préstamos'!$A$2:$A$101,0))*(INDEX('Préstamos'!$G$2:$G$101,MATCH($A583,'Préstamos'!$A$2:$A$101,0))-1),INDEX('Préstamos'!$J$2:$J$101,MATCH($A583,'Préstamos'!$A$2:$A$101,0)))))</f>
        <v/>
      </c>
      <c r="G583" s="29">
        <f>IF($A583="","",IF(AND(D583&lt;&gt;"Solo interés",C583=INDEX('Préstamos'!$G$2:$G$101,MATCH($A583,'Préstamos'!$A$2:$A$101,0))),INDEX('Préstamos'!$I$2:$I$101,MATCH($A583,'Préstamos'!$A$2:$A$101,0))-INDEX('Préstamos'!$K$2:$K$101,MATCH($A583,'Préstamos'!$A$2:$A$101,0))*(INDEX('Préstamos'!$G$2:$G$101,MATCH($A583,'Préstamos'!$A$2:$A$101,0))-1),INDEX('Préstamos'!$K$2:$K$101,MATCH($A583,'Préstamos'!$A$2:$A$101,0))))</f>
        <v/>
      </c>
      <c r="H583" s="29">
        <f>IF($A583="","",F583+G583)</f>
        <v/>
      </c>
      <c r="I583" s="14" t="n"/>
      <c r="J583" s="33" t="n"/>
      <c r="K583" s="16">
        <f>IF(OR($A583="",I583="Pagado"),"",MAX(0,TODAY()-E583))</f>
        <v/>
      </c>
      <c r="L583" s="16">
        <f>IF($A583="","",IF(I583="Pagado","Pagado",IF(E583&lt;TODAY(),"Atrasado",IF(E583&lt;=EOMONTH(TODAY(),0),"Este mes","Pendiente"))))</f>
        <v/>
      </c>
      <c r="M583" s="20">
        <f>IF(OR($A583="",I583="Pagado"),"",HYPERLINK("https://wa.me/"&amp;IF(INDEX('Préstamos'!$C$2:$C$101,MATCH($A583,'Préstamos'!$A$2:$A$101,0))="","","51"&amp;SUBSTITUTE(INDEX('Préstamos'!$C$2:$C$101,MATCH($A583,'Préstamos'!$A$2:$A$101,0))," ",""))&amp;"?text="&amp;SUBSTITUTE("Hola "&amp;B583&amp;", te recuerdo que tu cuota de S/ "&amp;H583&amp;IF(E583&lt;TODAY()," vencio el "," vence el ")&amp;TEXT(E583,"dd/mm")&amp;". Gracias!"," ","%20"),"WhatsApp"))</f>
        <v/>
      </c>
    </row>
    <row r="584">
      <c r="A584" s="14" t="n"/>
      <c r="B584" s="16">
        <f>IF($A584="","",INDEX('Préstamos'!$B$2:$B$101,MATCH($A584,'Préstamos'!$A$2:$A$101,0)))</f>
        <v/>
      </c>
      <c r="C584" s="14" t="n"/>
      <c r="D584" s="14" t="n"/>
      <c r="E584" s="33" t="n"/>
      <c r="F584" s="29">
        <f>IF($A584="","",IF(D584="Solo interés",0,IF(AND(D584&lt;&gt;"Solo interés",C584=INDEX('Préstamos'!$G$2:$G$101,MATCH($A584,'Préstamos'!$A$2:$A$101,0))),INDEX('Préstamos'!$D$2:$D$101,MATCH($A584,'Préstamos'!$A$2:$A$101,0))-INDEX('Préstamos'!$J$2:$J$101,MATCH($A584,'Préstamos'!$A$2:$A$101,0))*(INDEX('Préstamos'!$G$2:$G$101,MATCH($A584,'Préstamos'!$A$2:$A$101,0))-1),INDEX('Préstamos'!$J$2:$J$101,MATCH($A584,'Préstamos'!$A$2:$A$101,0)))))</f>
        <v/>
      </c>
      <c r="G584" s="29">
        <f>IF($A584="","",IF(AND(D584&lt;&gt;"Solo interés",C584=INDEX('Préstamos'!$G$2:$G$101,MATCH($A584,'Préstamos'!$A$2:$A$101,0))),INDEX('Préstamos'!$I$2:$I$101,MATCH($A584,'Préstamos'!$A$2:$A$101,0))-INDEX('Préstamos'!$K$2:$K$101,MATCH($A584,'Préstamos'!$A$2:$A$101,0))*(INDEX('Préstamos'!$G$2:$G$101,MATCH($A584,'Préstamos'!$A$2:$A$101,0))-1),INDEX('Préstamos'!$K$2:$K$101,MATCH($A584,'Préstamos'!$A$2:$A$101,0))))</f>
        <v/>
      </c>
      <c r="H584" s="29">
        <f>IF($A584="","",F584+G584)</f>
        <v/>
      </c>
      <c r="I584" s="14" t="n"/>
      <c r="J584" s="33" t="n"/>
      <c r="K584" s="16">
        <f>IF(OR($A584="",I584="Pagado"),"",MAX(0,TODAY()-E584))</f>
        <v/>
      </c>
      <c r="L584" s="16">
        <f>IF($A584="","",IF(I584="Pagado","Pagado",IF(E584&lt;TODAY(),"Atrasado",IF(E584&lt;=EOMONTH(TODAY(),0),"Este mes","Pendiente"))))</f>
        <v/>
      </c>
      <c r="M584" s="20">
        <f>IF(OR($A584="",I584="Pagado"),"",HYPERLINK("https://wa.me/"&amp;IF(INDEX('Préstamos'!$C$2:$C$101,MATCH($A584,'Préstamos'!$A$2:$A$101,0))="","","51"&amp;SUBSTITUTE(INDEX('Préstamos'!$C$2:$C$101,MATCH($A584,'Préstamos'!$A$2:$A$101,0))," ",""))&amp;"?text="&amp;SUBSTITUTE("Hola "&amp;B584&amp;", te recuerdo que tu cuota de S/ "&amp;H584&amp;IF(E584&lt;TODAY()," vencio el "," vence el ")&amp;TEXT(E584,"dd/mm")&amp;". Gracias!"," ","%20"),"WhatsApp"))</f>
        <v/>
      </c>
    </row>
    <row r="585">
      <c r="A585" s="14" t="n"/>
      <c r="B585" s="16">
        <f>IF($A585="","",INDEX('Préstamos'!$B$2:$B$101,MATCH($A585,'Préstamos'!$A$2:$A$101,0)))</f>
        <v/>
      </c>
      <c r="C585" s="14" t="n"/>
      <c r="D585" s="14" t="n"/>
      <c r="E585" s="33" t="n"/>
      <c r="F585" s="29">
        <f>IF($A585="","",IF(D585="Solo interés",0,IF(AND(D585&lt;&gt;"Solo interés",C585=INDEX('Préstamos'!$G$2:$G$101,MATCH($A585,'Préstamos'!$A$2:$A$101,0))),INDEX('Préstamos'!$D$2:$D$101,MATCH($A585,'Préstamos'!$A$2:$A$101,0))-INDEX('Préstamos'!$J$2:$J$101,MATCH($A585,'Préstamos'!$A$2:$A$101,0))*(INDEX('Préstamos'!$G$2:$G$101,MATCH($A585,'Préstamos'!$A$2:$A$101,0))-1),INDEX('Préstamos'!$J$2:$J$101,MATCH($A585,'Préstamos'!$A$2:$A$101,0)))))</f>
        <v/>
      </c>
      <c r="G585" s="29">
        <f>IF($A585="","",IF(AND(D585&lt;&gt;"Solo interés",C585=INDEX('Préstamos'!$G$2:$G$101,MATCH($A585,'Préstamos'!$A$2:$A$101,0))),INDEX('Préstamos'!$I$2:$I$101,MATCH($A585,'Préstamos'!$A$2:$A$101,0))-INDEX('Préstamos'!$K$2:$K$101,MATCH($A585,'Préstamos'!$A$2:$A$101,0))*(INDEX('Préstamos'!$G$2:$G$101,MATCH($A585,'Préstamos'!$A$2:$A$101,0))-1),INDEX('Préstamos'!$K$2:$K$101,MATCH($A585,'Préstamos'!$A$2:$A$101,0))))</f>
        <v/>
      </c>
      <c r="H585" s="29">
        <f>IF($A585="","",F585+G585)</f>
        <v/>
      </c>
      <c r="I585" s="14" t="n"/>
      <c r="J585" s="33" t="n"/>
      <c r="K585" s="16">
        <f>IF(OR($A585="",I585="Pagado"),"",MAX(0,TODAY()-E585))</f>
        <v/>
      </c>
      <c r="L585" s="16">
        <f>IF($A585="","",IF(I585="Pagado","Pagado",IF(E585&lt;TODAY(),"Atrasado",IF(E585&lt;=EOMONTH(TODAY(),0),"Este mes","Pendiente"))))</f>
        <v/>
      </c>
      <c r="M585" s="20">
        <f>IF(OR($A585="",I585="Pagado"),"",HYPERLINK("https://wa.me/"&amp;IF(INDEX('Préstamos'!$C$2:$C$101,MATCH($A585,'Préstamos'!$A$2:$A$101,0))="","","51"&amp;SUBSTITUTE(INDEX('Préstamos'!$C$2:$C$101,MATCH($A585,'Préstamos'!$A$2:$A$101,0))," ",""))&amp;"?text="&amp;SUBSTITUTE("Hola "&amp;B585&amp;", te recuerdo que tu cuota de S/ "&amp;H585&amp;IF(E585&lt;TODAY()," vencio el "," vence el ")&amp;TEXT(E585,"dd/mm")&amp;". Gracias!"," ","%20"),"WhatsApp"))</f>
        <v/>
      </c>
    </row>
    <row r="586">
      <c r="A586" s="14" t="n"/>
      <c r="B586" s="16">
        <f>IF($A586="","",INDEX('Préstamos'!$B$2:$B$101,MATCH($A586,'Préstamos'!$A$2:$A$101,0)))</f>
        <v/>
      </c>
      <c r="C586" s="14" t="n"/>
      <c r="D586" s="14" t="n"/>
      <c r="E586" s="33" t="n"/>
      <c r="F586" s="29">
        <f>IF($A586="","",IF(D586="Solo interés",0,IF(AND(D586&lt;&gt;"Solo interés",C586=INDEX('Préstamos'!$G$2:$G$101,MATCH($A586,'Préstamos'!$A$2:$A$101,0))),INDEX('Préstamos'!$D$2:$D$101,MATCH($A586,'Préstamos'!$A$2:$A$101,0))-INDEX('Préstamos'!$J$2:$J$101,MATCH($A586,'Préstamos'!$A$2:$A$101,0))*(INDEX('Préstamos'!$G$2:$G$101,MATCH($A586,'Préstamos'!$A$2:$A$101,0))-1),INDEX('Préstamos'!$J$2:$J$101,MATCH($A586,'Préstamos'!$A$2:$A$101,0)))))</f>
        <v/>
      </c>
      <c r="G586" s="29">
        <f>IF($A586="","",IF(AND(D586&lt;&gt;"Solo interés",C586=INDEX('Préstamos'!$G$2:$G$101,MATCH($A586,'Préstamos'!$A$2:$A$101,0))),INDEX('Préstamos'!$I$2:$I$101,MATCH($A586,'Préstamos'!$A$2:$A$101,0))-INDEX('Préstamos'!$K$2:$K$101,MATCH($A586,'Préstamos'!$A$2:$A$101,0))*(INDEX('Préstamos'!$G$2:$G$101,MATCH($A586,'Préstamos'!$A$2:$A$101,0))-1),INDEX('Préstamos'!$K$2:$K$101,MATCH($A586,'Préstamos'!$A$2:$A$101,0))))</f>
        <v/>
      </c>
      <c r="H586" s="29">
        <f>IF($A586="","",F586+G586)</f>
        <v/>
      </c>
      <c r="I586" s="14" t="n"/>
      <c r="J586" s="33" t="n"/>
      <c r="K586" s="16">
        <f>IF(OR($A586="",I586="Pagado"),"",MAX(0,TODAY()-E586))</f>
        <v/>
      </c>
      <c r="L586" s="16">
        <f>IF($A586="","",IF(I586="Pagado","Pagado",IF(E586&lt;TODAY(),"Atrasado",IF(E586&lt;=EOMONTH(TODAY(),0),"Este mes","Pendiente"))))</f>
        <v/>
      </c>
      <c r="M586" s="20">
        <f>IF(OR($A586="",I586="Pagado"),"",HYPERLINK("https://wa.me/"&amp;IF(INDEX('Préstamos'!$C$2:$C$101,MATCH($A586,'Préstamos'!$A$2:$A$101,0))="","","51"&amp;SUBSTITUTE(INDEX('Préstamos'!$C$2:$C$101,MATCH($A586,'Préstamos'!$A$2:$A$101,0))," ",""))&amp;"?text="&amp;SUBSTITUTE("Hola "&amp;B586&amp;", te recuerdo que tu cuota de S/ "&amp;H586&amp;IF(E586&lt;TODAY()," vencio el "," vence el ")&amp;TEXT(E586,"dd/mm")&amp;". Gracias!"," ","%20"),"WhatsApp"))</f>
        <v/>
      </c>
    </row>
    <row r="587">
      <c r="A587" s="14" t="n"/>
      <c r="B587" s="16">
        <f>IF($A587="","",INDEX('Préstamos'!$B$2:$B$101,MATCH($A587,'Préstamos'!$A$2:$A$101,0)))</f>
        <v/>
      </c>
      <c r="C587" s="14" t="n"/>
      <c r="D587" s="14" t="n"/>
      <c r="E587" s="33" t="n"/>
      <c r="F587" s="29">
        <f>IF($A587="","",IF(D587="Solo interés",0,IF(AND(D587&lt;&gt;"Solo interés",C587=INDEX('Préstamos'!$G$2:$G$101,MATCH($A587,'Préstamos'!$A$2:$A$101,0))),INDEX('Préstamos'!$D$2:$D$101,MATCH($A587,'Préstamos'!$A$2:$A$101,0))-INDEX('Préstamos'!$J$2:$J$101,MATCH($A587,'Préstamos'!$A$2:$A$101,0))*(INDEX('Préstamos'!$G$2:$G$101,MATCH($A587,'Préstamos'!$A$2:$A$101,0))-1),INDEX('Préstamos'!$J$2:$J$101,MATCH($A587,'Préstamos'!$A$2:$A$101,0)))))</f>
        <v/>
      </c>
      <c r="G587" s="29">
        <f>IF($A587="","",IF(AND(D587&lt;&gt;"Solo interés",C587=INDEX('Préstamos'!$G$2:$G$101,MATCH($A587,'Préstamos'!$A$2:$A$101,0))),INDEX('Préstamos'!$I$2:$I$101,MATCH($A587,'Préstamos'!$A$2:$A$101,0))-INDEX('Préstamos'!$K$2:$K$101,MATCH($A587,'Préstamos'!$A$2:$A$101,0))*(INDEX('Préstamos'!$G$2:$G$101,MATCH($A587,'Préstamos'!$A$2:$A$101,0))-1),INDEX('Préstamos'!$K$2:$K$101,MATCH($A587,'Préstamos'!$A$2:$A$101,0))))</f>
        <v/>
      </c>
      <c r="H587" s="29">
        <f>IF($A587="","",F587+G587)</f>
        <v/>
      </c>
      <c r="I587" s="14" t="n"/>
      <c r="J587" s="33" t="n"/>
      <c r="K587" s="16">
        <f>IF(OR($A587="",I587="Pagado"),"",MAX(0,TODAY()-E587))</f>
        <v/>
      </c>
      <c r="L587" s="16">
        <f>IF($A587="","",IF(I587="Pagado","Pagado",IF(E587&lt;TODAY(),"Atrasado",IF(E587&lt;=EOMONTH(TODAY(),0),"Este mes","Pendiente"))))</f>
        <v/>
      </c>
      <c r="M587" s="20">
        <f>IF(OR($A587="",I587="Pagado"),"",HYPERLINK("https://wa.me/"&amp;IF(INDEX('Préstamos'!$C$2:$C$101,MATCH($A587,'Préstamos'!$A$2:$A$101,0))="","","51"&amp;SUBSTITUTE(INDEX('Préstamos'!$C$2:$C$101,MATCH($A587,'Préstamos'!$A$2:$A$101,0))," ",""))&amp;"?text="&amp;SUBSTITUTE("Hola "&amp;B587&amp;", te recuerdo que tu cuota de S/ "&amp;H587&amp;IF(E587&lt;TODAY()," vencio el "," vence el ")&amp;TEXT(E587,"dd/mm")&amp;". Gracias!"," ","%20"),"WhatsApp"))</f>
        <v/>
      </c>
    </row>
    <row r="588">
      <c r="A588" s="14" t="n"/>
      <c r="B588" s="16">
        <f>IF($A588="","",INDEX('Préstamos'!$B$2:$B$101,MATCH($A588,'Préstamos'!$A$2:$A$101,0)))</f>
        <v/>
      </c>
      <c r="C588" s="14" t="n"/>
      <c r="D588" s="14" t="n"/>
      <c r="E588" s="33" t="n"/>
      <c r="F588" s="29">
        <f>IF($A588="","",IF(D588="Solo interés",0,IF(AND(D588&lt;&gt;"Solo interés",C588=INDEX('Préstamos'!$G$2:$G$101,MATCH($A588,'Préstamos'!$A$2:$A$101,0))),INDEX('Préstamos'!$D$2:$D$101,MATCH($A588,'Préstamos'!$A$2:$A$101,0))-INDEX('Préstamos'!$J$2:$J$101,MATCH($A588,'Préstamos'!$A$2:$A$101,0))*(INDEX('Préstamos'!$G$2:$G$101,MATCH($A588,'Préstamos'!$A$2:$A$101,0))-1),INDEX('Préstamos'!$J$2:$J$101,MATCH($A588,'Préstamos'!$A$2:$A$101,0)))))</f>
        <v/>
      </c>
      <c r="G588" s="29">
        <f>IF($A588="","",IF(AND(D588&lt;&gt;"Solo interés",C588=INDEX('Préstamos'!$G$2:$G$101,MATCH($A588,'Préstamos'!$A$2:$A$101,0))),INDEX('Préstamos'!$I$2:$I$101,MATCH($A588,'Préstamos'!$A$2:$A$101,0))-INDEX('Préstamos'!$K$2:$K$101,MATCH($A588,'Préstamos'!$A$2:$A$101,0))*(INDEX('Préstamos'!$G$2:$G$101,MATCH($A588,'Préstamos'!$A$2:$A$101,0))-1),INDEX('Préstamos'!$K$2:$K$101,MATCH($A588,'Préstamos'!$A$2:$A$101,0))))</f>
        <v/>
      </c>
      <c r="H588" s="29">
        <f>IF($A588="","",F588+G588)</f>
        <v/>
      </c>
      <c r="I588" s="14" t="n"/>
      <c r="J588" s="33" t="n"/>
      <c r="K588" s="16">
        <f>IF(OR($A588="",I588="Pagado"),"",MAX(0,TODAY()-E588))</f>
        <v/>
      </c>
      <c r="L588" s="16">
        <f>IF($A588="","",IF(I588="Pagado","Pagado",IF(E588&lt;TODAY(),"Atrasado",IF(E588&lt;=EOMONTH(TODAY(),0),"Este mes","Pendiente"))))</f>
        <v/>
      </c>
      <c r="M588" s="20">
        <f>IF(OR($A588="",I588="Pagado"),"",HYPERLINK("https://wa.me/"&amp;IF(INDEX('Préstamos'!$C$2:$C$101,MATCH($A588,'Préstamos'!$A$2:$A$101,0))="","","51"&amp;SUBSTITUTE(INDEX('Préstamos'!$C$2:$C$101,MATCH($A588,'Préstamos'!$A$2:$A$101,0))," ",""))&amp;"?text="&amp;SUBSTITUTE("Hola "&amp;B588&amp;", te recuerdo que tu cuota de S/ "&amp;H588&amp;IF(E588&lt;TODAY()," vencio el "," vence el ")&amp;TEXT(E588,"dd/mm")&amp;". Gracias!"," ","%20"),"WhatsApp"))</f>
        <v/>
      </c>
    </row>
    <row r="589">
      <c r="A589" s="14" t="n"/>
      <c r="B589" s="16">
        <f>IF($A589="","",INDEX('Préstamos'!$B$2:$B$101,MATCH($A589,'Préstamos'!$A$2:$A$101,0)))</f>
        <v/>
      </c>
      <c r="C589" s="14" t="n"/>
      <c r="D589" s="14" t="n"/>
      <c r="E589" s="33" t="n"/>
      <c r="F589" s="29">
        <f>IF($A589="","",IF(D589="Solo interés",0,IF(AND(D589&lt;&gt;"Solo interés",C589=INDEX('Préstamos'!$G$2:$G$101,MATCH($A589,'Préstamos'!$A$2:$A$101,0))),INDEX('Préstamos'!$D$2:$D$101,MATCH($A589,'Préstamos'!$A$2:$A$101,0))-INDEX('Préstamos'!$J$2:$J$101,MATCH($A589,'Préstamos'!$A$2:$A$101,0))*(INDEX('Préstamos'!$G$2:$G$101,MATCH($A589,'Préstamos'!$A$2:$A$101,0))-1),INDEX('Préstamos'!$J$2:$J$101,MATCH($A589,'Préstamos'!$A$2:$A$101,0)))))</f>
        <v/>
      </c>
      <c r="G589" s="29">
        <f>IF($A589="","",IF(AND(D589&lt;&gt;"Solo interés",C589=INDEX('Préstamos'!$G$2:$G$101,MATCH($A589,'Préstamos'!$A$2:$A$101,0))),INDEX('Préstamos'!$I$2:$I$101,MATCH($A589,'Préstamos'!$A$2:$A$101,0))-INDEX('Préstamos'!$K$2:$K$101,MATCH($A589,'Préstamos'!$A$2:$A$101,0))*(INDEX('Préstamos'!$G$2:$G$101,MATCH($A589,'Préstamos'!$A$2:$A$101,0))-1),INDEX('Préstamos'!$K$2:$K$101,MATCH($A589,'Préstamos'!$A$2:$A$101,0))))</f>
        <v/>
      </c>
      <c r="H589" s="29">
        <f>IF($A589="","",F589+G589)</f>
        <v/>
      </c>
      <c r="I589" s="14" t="n"/>
      <c r="J589" s="33" t="n"/>
      <c r="K589" s="16">
        <f>IF(OR($A589="",I589="Pagado"),"",MAX(0,TODAY()-E589))</f>
        <v/>
      </c>
      <c r="L589" s="16">
        <f>IF($A589="","",IF(I589="Pagado","Pagado",IF(E589&lt;TODAY(),"Atrasado",IF(E589&lt;=EOMONTH(TODAY(),0),"Este mes","Pendiente"))))</f>
        <v/>
      </c>
      <c r="M589" s="20">
        <f>IF(OR($A589="",I589="Pagado"),"",HYPERLINK("https://wa.me/"&amp;IF(INDEX('Préstamos'!$C$2:$C$101,MATCH($A589,'Préstamos'!$A$2:$A$101,0))="","","51"&amp;SUBSTITUTE(INDEX('Préstamos'!$C$2:$C$101,MATCH($A589,'Préstamos'!$A$2:$A$101,0))," ",""))&amp;"?text="&amp;SUBSTITUTE("Hola "&amp;B589&amp;", te recuerdo que tu cuota de S/ "&amp;H589&amp;IF(E589&lt;TODAY()," vencio el "," vence el ")&amp;TEXT(E589,"dd/mm")&amp;". Gracias!"," ","%20"),"WhatsApp"))</f>
        <v/>
      </c>
    </row>
    <row r="590">
      <c r="A590" s="14" t="n"/>
      <c r="B590" s="16">
        <f>IF($A590="","",INDEX('Préstamos'!$B$2:$B$101,MATCH($A590,'Préstamos'!$A$2:$A$101,0)))</f>
        <v/>
      </c>
      <c r="C590" s="14" t="n"/>
      <c r="D590" s="14" t="n"/>
      <c r="E590" s="33" t="n"/>
      <c r="F590" s="29">
        <f>IF($A590="","",IF(D590="Solo interés",0,IF(AND(D590&lt;&gt;"Solo interés",C590=INDEX('Préstamos'!$G$2:$G$101,MATCH($A590,'Préstamos'!$A$2:$A$101,0))),INDEX('Préstamos'!$D$2:$D$101,MATCH($A590,'Préstamos'!$A$2:$A$101,0))-INDEX('Préstamos'!$J$2:$J$101,MATCH($A590,'Préstamos'!$A$2:$A$101,0))*(INDEX('Préstamos'!$G$2:$G$101,MATCH($A590,'Préstamos'!$A$2:$A$101,0))-1),INDEX('Préstamos'!$J$2:$J$101,MATCH($A590,'Préstamos'!$A$2:$A$101,0)))))</f>
        <v/>
      </c>
      <c r="G590" s="29">
        <f>IF($A590="","",IF(AND(D590&lt;&gt;"Solo interés",C590=INDEX('Préstamos'!$G$2:$G$101,MATCH($A590,'Préstamos'!$A$2:$A$101,0))),INDEX('Préstamos'!$I$2:$I$101,MATCH($A590,'Préstamos'!$A$2:$A$101,0))-INDEX('Préstamos'!$K$2:$K$101,MATCH($A590,'Préstamos'!$A$2:$A$101,0))*(INDEX('Préstamos'!$G$2:$G$101,MATCH($A590,'Préstamos'!$A$2:$A$101,0))-1),INDEX('Préstamos'!$K$2:$K$101,MATCH($A590,'Préstamos'!$A$2:$A$101,0))))</f>
        <v/>
      </c>
      <c r="H590" s="29">
        <f>IF($A590="","",F590+G590)</f>
        <v/>
      </c>
      <c r="I590" s="14" t="n"/>
      <c r="J590" s="33" t="n"/>
      <c r="K590" s="16">
        <f>IF(OR($A590="",I590="Pagado"),"",MAX(0,TODAY()-E590))</f>
        <v/>
      </c>
      <c r="L590" s="16">
        <f>IF($A590="","",IF(I590="Pagado","Pagado",IF(E590&lt;TODAY(),"Atrasado",IF(E590&lt;=EOMONTH(TODAY(),0),"Este mes","Pendiente"))))</f>
        <v/>
      </c>
      <c r="M590" s="20">
        <f>IF(OR($A590="",I590="Pagado"),"",HYPERLINK("https://wa.me/"&amp;IF(INDEX('Préstamos'!$C$2:$C$101,MATCH($A590,'Préstamos'!$A$2:$A$101,0))="","","51"&amp;SUBSTITUTE(INDEX('Préstamos'!$C$2:$C$101,MATCH($A590,'Préstamos'!$A$2:$A$101,0))," ",""))&amp;"?text="&amp;SUBSTITUTE("Hola "&amp;B590&amp;", te recuerdo que tu cuota de S/ "&amp;H590&amp;IF(E590&lt;TODAY()," vencio el "," vence el ")&amp;TEXT(E590,"dd/mm")&amp;". Gracias!"," ","%20"),"WhatsApp"))</f>
        <v/>
      </c>
    </row>
    <row r="591">
      <c r="A591" s="14" t="n"/>
      <c r="B591" s="16">
        <f>IF($A591="","",INDEX('Préstamos'!$B$2:$B$101,MATCH($A591,'Préstamos'!$A$2:$A$101,0)))</f>
        <v/>
      </c>
      <c r="C591" s="14" t="n"/>
      <c r="D591" s="14" t="n"/>
      <c r="E591" s="33" t="n"/>
      <c r="F591" s="29">
        <f>IF($A591="","",IF(D591="Solo interés",0,IF(AND(D591&lt;&gt;"Solo interés",C591=INDEX('Préstamos'!$G$2:$G$101,MATCH($A591,'Préstamos'!$A$2:$A$101,0))),INDEX('Préstamos'!$D$2:$D$101,MATCH($A591,'Préstamos'!$A$2:$A$101,0))-INDEX('Préstamos'!$J$2:$J$101,MATCH($A591,'Préstamos'!$A$2:$A$101,0))*(INDEX('Préstamos'!$G$2:$G$101,MATCH($A591,'Préstamos'!$A$2:$A$101,0))-1),INDEX('Préstamos'!$J$2:$J$101,MATCH($A591,'Préstamos'!$A$2:$A$101,0)))))</f>
        <v/>
      </c>
      <c r="G591" s="29">
        <f>IF($A591="","",IF(AND(D591&lt;&gt;"Solo interés",C591=INDEX('Préstamos'!$G$2:$G$101,MATCH($A591,'Préstamos'!$A$2:$A$101,0))),INDEX('Préstamos'!$I$2:$I$101,MATCH($A591,'Préstamos'!$A$2:$A$101,0))-INDEX('Préstamos'!$K$2:$K$101,MATCH($A591,'Préstamos'!$A$2:$A$101,0))*(INDEX('Préstamos'!$G$2:$G$101,MATCH($A591,'Préstamos'!$A$2:$A$101,0))-1),INDEX('Préstamos'!$K$2:$K$101,MATCH($A591,'Préstamos'!$A$2:$A$101,0))))</f>
        <v/>
      </c>
      <c r="H591" s="29">
        <f>IF($A591="","",F591+G591)</f>
        <v/>
      </c>
      <c r="I591" s="14" t="n"/>
      <c r="J591" s="33" t="n"/>
      <c r="K591" s="16">
        <f>IF(OR($A591="",I591="Pagado"),"",MAX(0,TODAY()-E591))</f>
        <v/>
      </c>
      <c r="L591" s="16">
        <f>IF($A591="","",IF(I591="Pagado","Pagado",IF(E591&lt;TODAY(),"Atrasado",IF(E591&lt;=EOMONTH(TODAY(),0),"Este mes","Pendiente"))))</f>
        <v/>
      </c>
      <c r="M591" s="20">
        <f>IF(OR($A591="",I591="Pagado"),"",HYPERLINK("https://wa.me/"&amp;IF(INDEX('Préstamos'!$C$2:$C$101,MATCH($A591,'Préstamos'!$A$2:$A$101,0))="","","51"&amp;SUBSTITUTE(INDEX('Préstamos'!$C$2:$C$101,MATCH($A591,'Préstamos'!$A$2:$A$101,0))," ",""))&amp;"?text="&amp;SUBSTITUTE("Hola "&amp;B591&amp;", te recuerdo que tu cuota de S/ "&amp;H591&amp;IF(E591&lt;TODAY()," vencio el "," vence el ")&amp;TEXT(E591,"dd/mm")&amp;". Gracias!"," ","%20"),"WhatsApp"))</f>
        <v/>
      </c>
    </row>
    <row r="592">
      <c r="A592" s="14" t="n"/>
      <c r="B592" s="16">
        <f>IF($A592="","",INDEX('Préstamos'!$B$2:$B$101,MATCH($A592,'Préstamos'!$A$2:$A$101,0)))</f>
        <v/>
      </c>
      <c r="C592" s="14" t="n"/>
      <c r="D592" s="14" t="n"/>
      <c r="E592" s="33" t="n"/>
      <c r="F592" s="29">
        <f>IF($A592="","",IF(D592="Solo interés",0,IF(AND(D592&lt;&gt;"Solo interés",C592=INDEX('Préstamos'!$G$2:$G$101,MATCH($A592,'Préstamos'!$A$2:$A$101,0))),INDEX('Préstamos'!$D$2:$D$101,MATCH($A592,'Préstamos'!$A$2:$A$101,0))-INDEX('Préstamos'!$J$2:$J$101,MATCH($A592,'Préstamos'!$A$2:$A$101,0))*(INDEX('Préstamos'!$G$2:$G$101,MATCH($A592,'Préstamos'!$A$2:$A$101,0))-1),INDEX('Préstamos'!$J$2:$J$101,MATCH($A592,'Préstamos'!$A$2:$A$101,0)))))</f>
        <v/>
      </c>
      <c r="G592" s="29">
        <f>IF($A592="","",IF(AND(D592&lt;&gt;"Solo interés",C592=INDEX('Préstamos'!$G$2:$G$101,MATCH($A592,'Préstamos'!$A$2:$A$101,0))),INDEX('Préstamos'!$I$2:$I$101,MATCH($A592,'Préstamos'!$A$2:$A$101,0))-INDEX('Préstamos'!$K$2:$K$101,MATCH($A592,'Préstamos'!$A$2:$A$101,0))*(INDEX('Préstamos'!$G$2:$G$101,MATCH($A592,'Préstamos'!$A$2:$A$101,0))-1),INDEX('Préstamos'!$K$2:$K$101,MATCH($A592,'Préstamos'!$A$2:$A$101,0))))</f>
        <v/>
      </c>
      <c r="H592" s="29">
        <f>IF($A592="","",F592+G592)</f>
        <v/>
      </c>
      <c r="I592" s="14" t="n"/>
      <c r="J592" s="33" t="n"/>
      <c r="K592" s="16">
        <f>IF(OR($A592="",I592="Pagado"),"",MAX(0,TODAY()-E592))</f>
        <v/>
      </c>
      <c r="L592" s="16">
        <f>IF($A592="","",IF(I592="Pagado","Pagado",IF(E592&lt;TODAY(),"Atrasado",IF(E592&lt;=EOMONTH(TODAY(),0),"Este mes","Pendiente"))))</f>
        <v/>
      </c>
      <c r="M592" s="20">
        <f>IF(OR($A592="",I592="Pagado"),"",HYPERLINK("https://wa.me/"&amp;IF(INDEX('Préstamos'!$C$2:$C$101,MATCH($A592,'Préstamos'!$A$2:$A$101,0))="","","51"&amp;SUBSTITUTE(INDEX('Préstamos'!$C$2:$C$101,MATCH($A592,'Préstamos'!$A$2:$A$101,0))," ",""))&amp;"?text="&amp;SUBSTITUTE("Hola "&amp;B592&amp;", te recuerdo que tu cuota de S/ "&amp;H592&amp;IF(E592&lt;TODAY()," vencio el "," vence el ")&amp;TEXT(E592,"dd/mm")&amp;". Gracias!"," ","%20"),"WhatsApp"))</f>
        <v/>
      </c>
    </row>
    <row r="593">
      <c r="A593" s="14" t="n"/>
      <c r="B593" s="16">
        <f>IF($A593="","",INDEX('Préstamos'!$B$2:$B$101,MATCH($A593,'Préstamos'!$A$2:$A$101,0)))</f>
        <v/>
      </c>
      <c r="C593" s="14" t="n"/>
      <c r="D593" s="14" t="n"/>
      <c r="E593" s="33" t="n"/>
      <c r="F593" s="29">
        <f>IF($A593="","",IF(D593="Solo interés",0,IF(AND(D593&lt;&gt;"Solo interés",C593=INDEX('Préstamos'!$G$2:$G$101,MATCH($A593,'Préstamos'!$A$2:$A$101,0))),INDEX('Préstamos'!$D$2:$D$101,MATCH($A593,'Préstamos'!$A$2:$A$101,0))-INDEX('Préstamos'!$J$2:$J$101,MATCH($A593,'Préstamos'!$A$2:$A$101,0))*(INDEX('Préstamos'!$G$2:$G$101,MATCH($A593,'Préstamos'!$A$2:$A$101,0))-1),INDEX('Préstamos'!$J$2:$J$101,MATCH($A593,'Préstamos'!$A$2:$A$101,0)))))</f>
        <v/>
      </c>
      <c r="G593" s="29">
        <f>IF($A593="","",IF(AND(D593&lt;&gt;"Solo interés",C593=INDEX('Préstamos'!$G$2:$G$101,MATCH($A593,'Préstamos'!$A$2:$A$101,0))),INDEX('Préstamos'!$I$2:$I$101,MATCH($A593,'Préstamos'!$A$2:$A$101,0))-INDEX('Préstamos'!$K$2:$K$101,MATCH($A593,'Préstamos'!$A$2:$A$101,0))*(INDEX('Préstamos'!$G$2:$G$101,MATCH($A593,'Préstamos'!$A$2:$A$101,0))-1),INDEX('Préstamos'!$K$2:$K$101,MATCH($A593,'Préstamos'!$A$2:$A$101,0))))</f>
        <v/>
      </c>
      <c r="H593" s="29">
        <f>IF($A593="","",F593+G593)</f>
        <v/>
      </c>
      <c r="I593" s="14" t="n"/>
      <c r="J593" s="33" t="n"/>
      <c r="K593" s="16">
        <f>IF(OR($A593="",I593="Pagado"),"",MAX(0,TODAY()-E593))</f>
        <v/>
      </c>
      <c r="L593" s="16">
        <f>IF($A593="","",IF(I593="Pagado","Pagado",IF(E593&lt;TODAY(),"Atrasado",IF(E593&lt;=EOMONTH(TODAY(),0),"Este mes","Pendiente"))))</f>
        <v/>
      </c>
      <c r="M593" s="20">
        <f>IF(OR($A593="",I593="Pagado"),"",HYPERLINK("https://wa.me/"&amp;IF(INDEX('Préstamos'!$C$2:$C$101,MATCH($A593,'Préstamos'!$A$2:$A$101,0))="","","51"&amp;SUBSTITUTE(INDEX('Préstamos'!$C$2:$C$101,MATCH($A593,'Préstamos'!$A$2:$A$101,0))," ",""))&amp;"?text="&amp;SUBSTITUTE("Hola "&amp;B593&amp;", te recuerdo que tu cuota de S/ "&amp;H593&amp;IF(E593&lt;TODAY()," vencio el "," vence el ")&amp;TEXT(E593,"dd/mm")&amp;". Gracias!"," ","%20"),"WhatsApp"))</f>
        <v/>
      </c>
    </row>
    <row r="594">
      <c r="A594" s="14" t="n"/>
      <c r="B594" s="16">
        <f>IF($A594="","",INDEX('Préstamos'!$B$2:$B$101,MATCH($A594,'Préstamos'!$A$2:$A$101,0)))</f>
        <v/>
      </c>
      <c r="C594" s="14" t="n"/>
      <c r="D594" s="14" t="n"/>
      <c r="E594" s="33" t="n"/>
      <c r="F594" s="29">
        <f>IF($A594="","",IF(D594="Solo interés",0,IF(AND(D594&lt;&gt;"Solo interés",C594=INDEX('Préstamos'!$G$2:$G$101,MATCH($A594,'Préstamos'!$A$2:$A$101,0))),INDEX('Préstamos'!$D$2:$D$101,MATCH($A594,'Préstamos'!$A$2:$A$101,0))-INDEX('Préstamos'!$J$2:$J$101,MATCH($A594,'Préstamos'!$A$2:$A$101,0))*(INDEX('Préstamos'!$G$2:$G$101,MATCH($A594,'Préstamos'!$A$2:$A$101,0))-1),INDEX('Préstamos'!$J$2:$J$101,MATCH($A594,'Préstamos'!$A$2:$A$101,0)))))</f>
        <v/>
      </c>
      <c r="G594" s="29">
        <f>IF($A594="","",IF(AND(D594&lt;&gt;"Solo interés",C594=INDEX('Préstamos'!$G$2:$G$101,MATCH($A594,'Préstamos'!$A$2:$A$101,0))),INDEX('Préstamos'!$I$2:$I$101,MATCH($A594,'Préstamos'!$A$2:$A$101,0))-INDEX('Préstamos'!$K$2:$K$101,MATCH($A594,'Préstamos'!$A$2:$A$101,0))*(INDEX('Préstamos'!$G$2:$G$101,MATCH($A594,'Préstamos'!$A$2:$A$101,0))-1),INDEX('Préstamos'!$K$2:$K$101,MATCH($A594,'Préstamos'!$A$2:$A$101,0))))</f>
        <v/>
      </c>
      <c r="H594" s="29">
        <f>IF($A594="","",F594+G594)</f>
        <v/>
      </c>
      <c r="I594" s="14" t="n"/>
      <c r="J594" s="33" t="n"/>
      <c r="K594" s="16">
        <f>IF(OR($A594="",I594="Pagado"),"",MAX(0,TODAY()-E594))</f>
        <v/>
      </c>
      <c r="L594" s="16">
        <f>IF($A594="","",IF(I594="Pagado","Pagado",IF(E594&lt;TODAY(),"Atrasado",IF(E594&lt;=EOMONTH(TODAY(),0),"Este mes","Pendiente"))))</f>
        <v/>
      </c>
      <c r="M594" s="20">
        <f>IF(OR($A594="",I594="Pagado"),"",HYPERLINK("https://wa.me/"&amp;IF(INDEX('Préstamos'!$C$2:$C$101,MATCH($A594,'Préstamos'!$A$2:$A$101,0))="","","51"&amp;SUBSTITUTE(INDEX('Préstamos'!$C$2:$C$101,MATCH($A594,'Préstamos'!$A$2:$A$101,0))," ",""))&amp;"?text="&amp;SUBSTITUTE("Hola "&amp;B594&amp;", te recuerdo que tu cuota de S/ "&amp;H594&amp;IF(E594&lt;TODAY()," vencio el "," vence el ")&amp;TEXT(E594,"dd/mm")&amp;". Gracias!"," ","%20"),"WhatsApp"))</f>
        <v/>
      </c>
    </row>
    <row r="595">
      <c r="A595" s="14" t="n"/>
      <c r="B595" s="16">
        <f>IF($A595="","",INDEX('Préstamos'!$B$2:$B$101,MATCH($A595,'Préstamos'!$A$2:$A$101,0)))</f>
        <v/>
      </c>
      <c r="C595" s="14" t="n"/>
      <c r="D595" s="14" t="n"/>
      <c r="E595" s="33" t="n"/>
      <c r="F595" s="29">
        <f>IF($A595="","",IF(D595="Solo interés",0,IF(AND(D595&lt;&gt;"Solo interés",C595=INDEX('Préstamos'!$G$2:$G$101,MATCH($A595,'Préstamos'!$A$2:$A$101,0))),INDEX('Préstamos'!$D$2:$D$101,MATCH($A595,'Préstamos'!$A$2:$A$101,0))-INDEX('Préstamos'!$J$2:$J$101,MATCH($A595,'Préstamos'!$A$2:$A$101,0))*(INDEX('Préstamos'!$G$2:$G$101,MATCH($A595,'Préstamos'!$A$2:$A$101,0))-1),INDEX('Préstamos'!$J$2:$J$101,MATCH($A595,'Préstamos'!$A$2:$A$101,0)))))</f>
        <v/>
      </c>
      <c r="G595" s="29">
        <f>IF($A595="","",IF(AND(D595&lt;&gt;"Solo interés",C595=INDEX('Préstamos'!$G$2:$G$101,MATCH($A595,'Préstamos'!$A$2:$A$101,0))),INDEX('Préstamos'!$I$2:$I$101,MATCH($A595,'Préstamos'!$A$2:$A$101,0))-INDEX('Préstamos'!$K$2:$K$101,MATCH($A595,'Préstamos'!$A$2:$A$101,0))*(INDEX('Préstamos'!$G$2:$G$101,MATCH($A595,'Préstamos'!$A$2:$A$101,0))-1),INDEX('Préstamos'!$K$2:$K$101,MATCH($A595,'Préstamos'!$A$2:$A$101,0))))</f>
        <v/>
      </c>
      <c r="H595" s="29">
        <f>IF($A595="","",F595+G595)</f>
        <v/>
      </c>
      <c r="I595" s="14" t="n"/>
      <c r="J595" s="33" t="n"/>
      <c r="K595" s="16">
        <f>IF(OR($A595="",I595="Pagado"),"",MAX(0,TODAY()-E595))</f>
        <v/>
      </c>
      <c r="L595" s="16">
        <f>IF($A595="","",IF(I595="Pagado","Pagado",IF(E595&lt;TODAY(),"Atrasado",IF(E595&lt;=EOMONTH(TODAY(),0),"Este mes","Pendiente"))))</f>
        <v/>
      </c>
      <c r="M595" s="20">
        <f>IF(OR($A595="",I595="Pagado"),"",HYPERLINK("https://wa.me/"&amp;IF(INDEX('Préstamos'!$C$2:$C$101,MATCH($A595,'Préstamos'!$A$2:$A$101,0))="","","51"&amp;SUBSTITUTE(INDEX('Préstamos'!$C$2:$C$101,MATCH($A595,'Préstamos'!$A$2:$A$101,0))," ",""))&amp;"?text="&amp;SUBSTITUTE("Hola "&amp;B595&amp;", te recuerdo que tu cuota de S/ "&amp;H595&amp;IF(E595&lt;TODAY()," vencio el "," vence el ")&amp;TEXT(E595,"dd/mm")&amp;". Gracias!"," ","%20"),"WhatsApp"))</f>
        <v/>
      </c>
    </row>
    <row r="596">
      <c r="A596" s="14" t="n"/>
      <c r="B596" s="16">
        <f>IF($A596="","",INDEX('Préstamos'!$B$2:$B$101,MATCH($A596,'Préstamos'!$A$2:$A$101,0)))</f>
        <v/>
      </c>
      <c r="C596" s="14" t="n"/>
      <c r="D596" s="14" t="n"/>
      <c r="E596" s="33" t="n"/>
      <c r="F596" s="29">
        <f>IF($A596="","",IF(D596="Solo interés",0,IF(AND(D596&lt;&gt;"Solo interés",C596=INDEX('Préstamos'!$G$2:$G$101,MATCH($A596,'Préstamos'!$A$2:$A$101,0))),INDEX('Préstamos'!$D$2:$D$101,MATCH($A596,'Préstamos'!$A$2:$A$101,0))-INDEX('Préstamos'!$J$2:$J$101,MATCH($A596,'Préstamos'!$A$2:$A$101,0))*(INDEX('Préstamos'!$G$2:$G$101,MATCH($A596,'Préstamos'!$A$2:$A$101,0))-1),INDEX('Préstamos'!$J$2:$J$101,MATCH($A596,'Préstamos'!$A$2:$A$101,0)))))</f>
        <v/>
      </c>
      <c r="G596" s="29">
        <f>IF($A596="","",IF(AND(D596&lt;&gt;"Solo interés",C596=INDEX('Préstamos'!$G$2:$G$101,MATCH($A596,'Préstamos'!$A$2:$A$101,0))),INDEX('Préstamos'!$I$2:$I$101,MATCH($A596,'Préstamos'!$A$2:$A$101,0))-INDEX('Préstamos'!$K$2:$K$101,MATCH($A596,'Préstamos'!$A$2:$A$101,0))*(INDEX('Préstamos'!$G$2:$G$101,MATCH($A596,'Préstamos'!$A$2:$A$101,0))-1),INDEX('Préstamos'!$K$2:$K$101,MATCH($A596,'Préstamos'!$A$2:$A$101,0))))</f>
        <v/>
      </c>
      <c r="H596" s="29">
        <f>IF($A596="","",F596+G596)</f>
        <v/>
      </c>
      <c r="I596" s="14" t="n"/>
      <c r="J596" s="33" t="n"/>
      <c r="K596" s="16">
        <f>IF(OR($A596="",I596="Pagado"),"",MAX(0,TODAY()-E596))</f>
        <v/>
      </c>
      <c r="L596" s="16">
        <f>IF($A596="","",IF(I596="Pagado","Pagado",IF(E596&lt;TODAY(),"Atrasado",IF(E596&lt;=EOMONTH(TODAY(),0),"Este mes","Pendiente"))))</f>
        <v/>
      </c>
      <c r="M596" s="20">
        <f>IF(OR($A596="",I596="Pagado"),"",HYPERLINK("https://wa.me/"&amp;IF(INDEX('Préstamos'!$C$2:$C$101,MATCH($A596,'Préstamos'!$A$2:$A$101,0))="","","51"&amp;SUBSTITUTE(INDEX('Préstamos'!$C$2:$C$101,MATCH($A596,'Préstamos'!$A$2:$A$101,0))," ",""))&amp;"?text="&amp;SUBSTITUTE("Hola "&amp;B596&amp;", te recuerdo que tu cuota de S/ "&amp;H596&amp;IF(E596&lt;TODAY()," vencio el "," vence el ")&amp;TEXT(E596,"dd/mm")&amp;". Gracias!"," ","%20"),"WhatsApp"))</f>
        <v/>
      </c>
    </row>
    <row r="597">
      <c r="A597" s="14" t="n"/>
      <c r="B597" s="16">
        <f>IF($A597="","",INDEX('Préstamos'!$B$2:$B$101,MATCH($A597,'Préstamos'!$A$2:$A$101,0)))</f>
        <v/>
      </c>
      <c r="C597" s="14" t="n"/>
      <c r="D597" s="14" t="n"/>
      <c r="E597" s="33" t="n"/>
      <c r="F597" s="29">
        <f>IF($A597="","",IF(D597="Solo interés",0,IF(AND(D597&lt;&gt;"Solo interés",C597=INDEX('Préstamos'!$G$2:$G$101,MATCH($A597,'Préstamos'!$A$2:$A$101,0))),INDEX('Préstamos'!$D$2:$D$101,MATCH($A597,'Préstamos'!$A$2:$A$101,0))-INDEX('Préstamos'!$J$2:$J$101,MATCH($A597,'Préstamos'!$A$2:$A$101,0))*(INDEX('Préstamos'!$G$2:$G$101,MATCH($A597,'Préstamos'!$A$2:$A$101,0))-1),INDEX('Préstamos'!$J$2:$J$101,MATCH($A597,'Préstamos'!$A$2:$A$101,0)))))</f>
        <v/>
      </c>
      <c r="G597" s="29">
        <f>IF($A597="","",IF(AND(D597&lt;&gt;"Solo interés",C597=INDEX('Préstamos'!$G$2:$G$101,MATCH($A597,'Préstamos'!$A$2:$A$101,0))),INDEX('Préstamos'!$I$2:$I$101,MATCH($A597,'Préstamos'!$A$2:$A$101,0))-INDEX('Préstamos'!$K$2:$K$101,MATCH($A597,'Préstamos'!$A$2:$A$101,0))*(INDEX('Préstamos'!$G$2:$G$101,MATCH($A597,'Préstamos'!$A$2:$A$101,0))-1),INDEX('Préstamos'!$K$2:$K$101,MATCH($A597,'Préstamos'!$A$2:$A$101,0))))</f>
        <v/>
      </c>
      <c r="H597" s="29">
        <f>IF($A597="","",F597+G597)</f>
        <v/>
      </c>
      <c r="I597" s="14" t="n"/>
      <c r="J597" s="33" t="n"/>
      <c r="K597" s="16">
        <f>IF(OR($A597="",I597="Pagado"),"",MAX(0,TODAY()-E597))</f>
        <v/>
      </c>
      <c r="L597" s="16">
        <f>IF($A597="","",IF(I597="Pagado","Pagado",IF(E597&lt;TODAY(),"Atrasado",IF(E597&lt;=EOMONTH(TODAY(),0),"Este mes","Pendiente"))))</f>
        <v/>
      </c>
      <c r="M597" s="20">
        <f>IF(OR($A597="",I597="Pagado"),"",HYPERLINK("https://wa.me/"&amp;IF(INDEX('Préstamos'!$C$2:$C$101,MATCH($A597,'Préstamos'!$A$2:$A$101,0))="","","51"&amp;SUBSTITUTE(INDEX('Préstamos'!$C$2:$C$101,MATCH($A597,'Préstamos'!$A$2:$A$101,0))," ",""))&amp;"?text="&amp;SUBSTITUTE("Hola "&amp;B597&amp;", te recuerdo que tu cuota de S/ "&amp;H597&amp;IF(E597&lt;TODAY()," vencio el "," vence el ")&amp;TEXT(E597,"dd/mm")&amp;". Gracias!"," ","%20"),"WhatsApp"))</f>
        <v/>
      </c>
    </row>
    <row r="598">
      <c r="A598" s="14" t="n"/>
      <c r="B598" s="16">
        <f>IF($A598="","",INDEX('Préstamos'!$B$2:$B$101,MATCH($A598,'Préstamos'!$A$2:$A$101,0)))</f>
        <v/>
      </c>
      <c r="C598" s="14" t="n"/>
      <c r="D598" s="14" t="n"/>
      <c r="E598" s="33" t="n"/>
      <c r="F598" s="29">
        <f>IF($A598="","",IF(D598="Solo interés",0,IF(AND(D598&lt;&gt;"Solo interés",C598=INDEX('Préstamos'!$G$2:$G$101,MATCH($A598,'Préstamos'!$A$2:$A$101,0))),INDEX('Préstamos'!$D$2:$D$101,MATCH($A598,'Préstamos'!$A$2:$A$101,0))-INDEX('Préstamos'!$J$2:$J$101,MATCH($A598,'Préstamos'!$A$2:$A$101,0))*(INDEX('Préstamos'!$G$2:$G$101,MATCH($A598,'Préstamos'!$A$2:$A$101,0))-1),INDEX('Préstamos'!$J$2:$J$101,MATCH($A598,'Préstamos'!$A$2:$A$101,0)))))</f>
        <v/>
      </c>
      <c r="G598" s="29">
        <f>IF($A598="","",IF(AND(D598&lt;&gt;"Solo interés",C598=INDEX('Préstamos'!$G$2:$G$101,MATCH($A598,'Préstamos'!$A$2:$A$101,0))),INDEX('Préstamos'!$I$2:$I$101,MATCH($A598,'Préstamos'!$A$2:$A$101,0))-INDEX('Préstamos'!$K$2:$K$101,MATCH($A598,'Préstamos'!$A$2:$A$101,0))*(INDEX('Préstamos'!$G$2:$G$101,MATCH($A598,'Préstamos'!$A$2:$A$101,0))-1),INDEX('Préstamos'!$K$2:$K$101,MATCH($A598,'Préstamos'!$A$2:$A$101,0))))</f>
        <v/>
      </c>
      <c r="H598" s="29">
        <f>IF($A598="","",F598+G598)</f>
        <v/>
      </c>
      <c r="I598" s="14" t="n"/>
      <c r="J598" s="33" t="n"/>
      <c r="K598" s="16">
        <f>IF(OR($A598="",I598="Pagado"),"",MAX(0,TODAY()-E598))</f>
        <v/>
      </c>
      <c r="L598" s="16">
        <f>IF($A598="","",IF(I598="Pagado","Pagado",IF(E598&lt;TODAY(),"Atrasado",IF(E598&lt;=EOMONTH(TODAY(),0),"Este mes","Pendiente"))))</f>
        <v/>
      </c>
      <c r="M598" s="20">
        <f>IF(OR($A598="",I598="Pagado"),"",HYPERLINK("https://wa.me/"&amp;IF(INDEX('Préstamos'!$C$2:$C$101,MATCH($A598,'Préstamos'!$A$2:$A$101,0))="","","51"&amp;SUBSTITUTE(INDEX('Préstamos'!$C$2:$C$101,MATCH($A598,'Préstamos'!$A$2:$A$101,0))," ",""))&amp;"?text="&amp;SUBSTITUTE("Hola "&amp;B598&amp;", te recuerdo que tu cuota de S/ "&amp;H598&amp;IF(E598&lt;TODAY()," vencio el "," vence el ")&amp;TEXT(E598,"dd/mm")&amp;". Gracias!"," ","%20"),"WhatsApp"))</f>
        <v/>
      </c>
    </row>
    <row r="599">
      <c r="A599" s="14" t="n"/>
      <c r="B599" s="16">
        <f>IF($A599="","",INDEX('Préstamos'!$B$2:$B$101,MATCH($A599,'Préstamos'!$A$2:$A$101,0)))</f>
        <v/>
      </c>
      <c r="C599" s="14" t="n"/>
      <c r="D599" s="14" t="n"/>
      <c r="E599" s="33" t="n"/>
      <c r="F599" s="29">
        <f>IF($A599="","",IF(D599="Solo interés",0,IF(AND(D599&lt;&gt;"Solo interés",C599=INDEX('Préstamos'!$G$2:$G$101,MATCH($A599,'Préstamos'!$A$2:$A$101,0))),INDEX('Préstamos'!$D$2:$D$101,MATCH($A599,'Préstamos'!$A$2:$A$101,0))-INDEX('Préstamos'!$J$2:$J$101,MATCH($A599,'Préstamos'!$A$2:$A$101,0))*(INDEX('Préstamos'!$G$2:$G$101,MATCH($A599,'Préstamos'!$A$2:$A$101,0))-1),INDEX('Préstamos'!$J$2:$J$101,MATCH($A599,'Préstamos'!$A$2:$A$101,0)))))</f>
        <v/>
      </c>
      <c r="G599" s="29">
        <f>IF($A599="","",IF(AND(D599&lt;&gt;"Solo interés",C599=INDEX('Préstamos'!$G$2:$G$101,MATCH($A599,'Préstamos'!$A$2:$A$101,0))),INDEX('Préstamos'!$I$2:$I$101,MATCH($A599,'Préstamos'!$A$2:$A$101,0))-INDEX('Préstamos'!$K$2:$K$101,MATCH($A599,'Préstamos'!$A$2:$A$101,0))*(INDEX('Préstamos'!$G$2:$G$101,MATCH($A599,'Préstamos'!$A$2:$A$101,0))-1),INDEX('Préstamos'!$K$2:$K$101,MATCH($A599,'Préstamos'!$A$2:$A$101,0))))</f>
        <v/>
      </c>
      <c r="H599" s="29">
        <f>IF($A599="","",F599+G599)</f>
        <v/>
      </c>
      <c r="I599" s="14" t="n"/>
      <c r="J599" s="33" t="n"/>
      <c r="K599" s="16">
        <f>IF(OR($A599="",I599="Pagado"),"",MAX(0,TODAY()-E599))</f>
        <v/>
      </c>
      <c r="L599" s="16">
        <f>IF($A599="","",IF(I599="Pagado","Pagado",IF(E599&lt;TODAY(),"Atrasado",IF(E599&lt;=EOMONTH(TODAY(),0),"Este mes","Pendiente"))))</f>
        <v/>
      </c>
      <c r="M599" s="20">
        <f>IF(OR($A599="",I599="Pagado"),"",HYPERLINK("https://wa.me/"&amp;IF(INDEX('Préstamos'!$C$2:$C$101,MATCH($A599,'Préstamos'!$A$2:$A$101,0))="","","51"&amp;SUBSTITUTE(INDEX('Préstamos'!$C$2:$C$101,MATCH($A599,'Préstamos'!$A$2:$A$101,0))," ",""))&amp;"?text="&amp;SUBSTITUTE("Hola "&amp;B599&amp;", te recuerdo que tu cuota de S/ "&amp;H599&amp;IF(E599&lt;TODAY()," vencio el "," vence el ")&amp;TEXT(E599,"dd/mm")&amp;". Gracias!"," ","%20"),"WhatsApp"))</f>
        <v/>
      </c>
    </row>
    <row r="600">
      <c r="A600" s="14" t="n"/>
      <c r="B600" s="16">
        <f>IF($A600="","",INDEX('Préstamos'!$B$2:$B$101,MATCH($A600,'Préstamos'!$A$2:$A$101,0)))</f>
        <v/>
      </c>
      <c r="C600" s="14" t="n"/>
      <c r="D600" s="14" t="n"/>
      <c r="E600" s="33" t="n"/>
      <c r="F600" s="29">
        <f>IF($A600="","",IF(D600="Solo interés",0,IF(AND(D600&lt;&gt;"Solo interés",C600=INDEX('Préstamos'!$G$2:$G$101,MATCH($A600,'Préstamos'!$A$2:$A$101,0))),INDEX('Préstamos'!$D$2:$D$101,MATCH($A600,'Préstamos'!$A$2:$A$101,0))-INDEX('Préstamos'!$J$2:$J$101,MATCH($A600,'Préstamos'!$A$2:$A$101,0))*(INDEX('Préstamos'!$G$2:$G$101,MATCH($A600,'Préstamos'!$A$2:$A$101,0))-1),INDEX('Préstamos'!$J$2:$J$101,MATCH($A600,'Préstamos'!$A$2:$A$101,0)))))</f>
        <v/>
      </c>
      <c r="G600" s="29">
        <f>IF($A600="","",IF(AND(D600&lt;&gt;"Solo interés",C600=INDEX('Préstamos'!$G$2:$G$101,MATCH($A600,'Préstamos'!$A$2:$A$101,0))),INDEX('Préstamos'!$I$2:$I$101,MATCH($A600,'Préstamos'!$A$2:$A$101,0))-INDEX('Préstamos'!$K$2:$K$101,MATCH($A600,'Préstamos'!$A$2:$A$101,0))*(INDEX('Préstamos'!$G$2:$G$101,MATCH($A600,'Préstamos'!$A$2:$A$101,0))-1),INDEX('Préstamos'!$K$2:$K$101,MATCH($A600,'Préstamos'!$A$2:$A$101,0))))</f>
        <v/>
      </c>
      <c r="H600" s="29">
        <f>IF($A600="","",F600+G600)</f>
        <v/>
      </c>
      <c r="I600" s="14" t="n"/>
      <c r="J600" s="33" t="n"/>
      <c r="K600" s="16">
        <f>IF(OR($A600="",I600="Pagado"),"",MAX(0,TODAY()-E600))</f>
        <v/>
      </c>
      <c r="L600" s="16">
        <f>IF($A600="","",IF(I600="Pagado","Pagado",IF(E600&lt;TODAY(),"Atrasado",IF(E600&lt;=EOMONTH(TODAY(),0),"Este mes","Pendiente"))))</f>
        <v/>
      </c>
      <c r="M600" s="20">
        <f>IF(OR($A600="",I600="Pagado"),"",HYPERLINK("https://wa.me/"&amp;IF(INDEX('Préstamos'!$C$2:$C$101,MATCH($A600,'Préstamos'!$A$2:$A$101,0))="","","51"&amp;SUBSTITUTE(INDEX('Préstamos'!$C$2:$C$101,MATCH($A600,'Préstamos'!$A$2:$A$101,0))," ",""))&amp;"?text="&amp;SUBSTITUTE("Hola "&amp;B600&amp;", te recuerdo que tu cuota de S/ "&amp;H600&amp;IF(E600&lt;TODAY()," vencio el "," vence el ")&amp;TEXT(E600,"dd/mm")&amp;". Gracias!"," ","%20"),"WhatsApp"))</f>
        <v/>
      </c>
    </row>
    <row r="601">
      <c r="A601" s="14" t="n"/>
      <c r="B601" s="16">
        <f>IF($A601="","",INDEX('Préstamos'!$B$2:$B$101,MATCH($A601,'Préstamos'!$A$2:$A$101,0)))</f>
        <v/>
      </c>
      <c r="C601" s="14" t="n"/>
      <c r="D601" s="14" t="n"/>
      <c r="E601" s="33" t="n"/>
      <c r="F601" s="29">
        <f>IF($A601="","",IF(D601="Solo interés",0,IF(AND(D601&lt;&gt;"Solo interés",C601=INDEX('Préstamos'!$G$2:$G$101,MATCH($A601,'Préstamos'!$A$2:$A$101,0))),INDEX('Préstamos'!$D$2:$D$101,MATCH($A601,'Préstamos'!$A$2:$A$101,0))-INDEX('Préstamos'!$J$2:$J$101,MATCH($A601,'Préstamos'!$A$2:$A$101,0))*(INDEX('Préstamos'!$G$2:$G$101,MATCH($A601,'Préstamos'!$A$2:$A$101,0))-1),INDEX('Préstamos'!$J$2:$J$101,MATCH($A601,'Préstamos'!$A$2:$A$101,0)))))</f>
        <v/>
      </c>
      <c r="G601" s="29">
        <f>IF($A601="","",IF(AND(D601&lt;&gt;"Solo interés",C601=INDEX('Préstamos'!$G$2:$G$101,MATCH($A601,'Préstamos'!$A$2:$A$101,0))),INDEX('Préstamos'!$I$2:$I$101,MATCH($A601,'Préstamos'!$A$2:$A$101,0))-INDEX('Préstamos'!$K$2:$K$101,MATCH($A601,'Préstamos'!$A$2:$A$101,0))*(INDEX('Préstamos'!$G$2:$G$101,MATCH($A601,'Préstamos'!$A$2:$A$101,0))-1),INDEX('Préstamos'!$K$2:$K$101,MATCH($A601,'Préstamos'!$A$2:$A$101,0))))</f>
        <v/>
      </c>
      <c r="H601" s="29">
        <f>IF($A601="","",F601+G601)</f>
        <v/>
      </c>
      <c r="I601" s="14" t="n"/>
      <c r="J601" s="33" t="n"/>
      <c r="K601" s="16">
        <f>IF(OR($A601="",I601="Pagado"),"",MAX(0,TODAY()-E601))</f>
        <v/>
      </c>
      <c r="L601" s="16">
        <f>IF($A601="","",IF(I601="Pagado","Pagado",IF(E601&lt;TODAY(),"Atrasado",IF(E601&lt;=EOMONTH(TODAY(),0),"Este mes","Pendiente"))))</f>
        <v/>
      </c>
      <c r="M601" s="20">
        <f>IF(OR($A601="",I601="Pagado"),"",HYPERLINK("https://wa.me/"&amp;IF(INDEX('Préstamos'!$C$2:$C$101,MATCH($A601,'Préstamos'!$A$2:$A$101,0))="","","51"&amp;SUBSTITUTE(INDEX('Préstamos'!$C$2:$C$101,MATCH($A601,'Préstamos'!$A$2:$A$101,0))," ",""))&amp;"?text="&amp;SUBSTITUTE("Hola "&amp;B601&amp;", te recuerdo que tu cuota de S/ "&amp;H601&amp;IF(E601&lt;TODAY()," vencio el "," vence el ")&amp;TEXT(E601,"dd/mm")&amp;". Gracias!"," ","%20"),"WhatsApp"))</f>
        <v/>
      </c>
    </row>
  </sheetData>
  <autoFilter ref="A1:M601"/>
  <conditionalFormatting sqref="A2:M601">
    <cfRule type="expression" priority="1" dxfId="1">
      <formula>$L2="Atrasado"</formula>
    </cfRule>
    <cfRule type="expression" priority="2" dxfId="3">
      <formula>$L2="Este mes"</formula>
    </cfRule>
    <cfRule type="expression" priority="3" dxfId="2">
      <formula>$L2="Pagado"</formula>
    </cfRule>
  </conditionalFormatting>
  <dataValidations count="3">
    <dataValidation sqref="A2:A601" showDropDown="0" showInputMessage="0" showErrorMessage="0" allowBlank="1" type="list">
      <formula1>='Préstamos'!$A$2:$A$101</formula1>
    </dataValidation>
    <dataValidation sqref="D2:D601" showDropDown="0" showInputMessage="0" showErrorMessage="0" allowBlank="1" type="list">
      <formula1>"Normal,Solo interés"</formula1>
    </dataValidation>
    <dataValidation sqref="I2:I601" showDropDown="0" showInputMessage="0" showErrorMessage="0" allowBlank="1" type="list">
      <formula1>"Pendiente,Pagado"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Calculadora de préstamo</t>
        </is>
      </c>
    </row>
    <row r="3">
      <c r="A3" s="2" t="inlineStr">
        <is>
          <t>Capital (S/)</t>
        </is>
      </c>
      <c r="B3" s="34" t="n">
        <v>1000</v>
      </c>
      <c r="D3" s="22" t="inlineStr">
        <is>
          <t>Celdas crema: cámbialas. El resto se calcula solo (hasta 24 meses).</t>
        </is>
      </c>
    </row>
    <row r="4">
      <c r="A4" s="2" t="inlineStr">
        <is>
          <t>Tipo de interés</t>
        </is>
      </c>
      <c r="B4" s="8" t="inlineStr">
        <is>
          <t>%</t>
        </is>
      </c>
    </row>
    <row r="5">
      <c r="A5" s="2" t="inlineStr">
        <is>
          <t>Valor (% o S/)</t>
        </is>
      </c>
      <c r="B5" s="8" t="n">
        <v>16</v>
      </c>
    </row>
    <row r="6">
      <c r="A6" s="2" t="inlineStr">
        <is>
          <t>Meses</t>
        </is>
      </c>
      <c r="B6" s="8" t="n">
        <v>2</v>
      </c>
    </row>
    <row r="7">
      <c r="A7" s="2" t="inlineStr">
        <is>
          <t>Primera fecha límite</t>
        </is>
      </c>
      <c r="B7" s="35" t="n">
        <v>46342</v>
      </c>
    </row>
    <row r="9">
      <c r="A9" s="2" t="inlineStr">
        <is>
          <t>Interés total</t>
        </is>
      </c>
      <c r="B9" s="30">
        <f>IF(B4="%",B3*B5/100,IF(B4="Fijo por mes",B5*B6,B5))</f>
        <v/>
      </c>
    </row>
    <row r="10">
      <c r="A10" s="2" t="inlineStr">
        <is>
          <t>Capital por cuota</t>
        </is>
      </c>
      <c r="B10" s="30">
        <f>ROUNDUP(B3/B6,0)</f>
        <v/>
      </c>
    </row>
    <row r="11">
      <c r="A11" s="2" t="inlineStr">
        <is>
          <t>Interés por cuota</t>
        </is>
      </c>
      <c r="B11" s="30">
        <f>ROUNDDOWN(B9/B6,0)</f>
        <v/>
      </c>
    </row>
    <row r="12">
      <c r="A12" s="2" t="inlineStr">
        <is>
          <t>Cuota mensual</t>
        </is>
      </c>
      <c r="B12" s="30">
        <f>B10+B11</f>
        <v/>
      </c>
    </row>
    <row r="13">
      <c r="A13" s="2" t="inlineStr">
        <is>
          <t>Total que te devuelven</t>
        </is>
      </c>
      <c r="B13" s="30">
        <f>B3+B9</f>
        <v/>
      </c>
    </row>
    <row r="14">
      <c r="A14" s="2" t="inlineStr">
        <is>
          <t>Fórmula</t>
        </is>
      </c>
      <c r="B14" s="24">
        <f>IF(B4="%",B3&amp;"*"&amp;B5&amp;"%",IF(B4="Fijo por mes",B3&amp;"cap+"&amp;B5&amp;"int/mes",B3&amp;"cap+"&amp;B9&amp;"int"))&amp;IF(B6&gt;1,IF(B4="Fijo por mes"," x ","/")&amp;B6&amp;"mes","")&amp;"  →  "&amp;B10&amp;"cap+"&amp;B11&amp;"int="&amp;B12</f>
        <v/>
      </c>
    </row>
    <row r="16">
      <c r="A16" s="25" t="inlineStr">
        <is>
          <t>Cuota</t>
        </is>
      </c>
      <c r="B16" s="25" t="inlineStr">
        <is>
          <t>Fecha límite</t>
        </is>
      </c>
      <c r="C16" s="25" t="inlineStr">
        <is>
          <t>Capital</t>
        </is>
      </c>
      <c r="D16" s="25" t="inlineStr">
        <is>
          <t>Interés</t>
        </is>
      </c>
      <c r="E16" s="25" t="inlineStr">
        <is>
          <t>Total</t>
        </is>
      </c>
    </row>
    <row r="17">
      <c r="A17" s="26">
        <f>IF(1&gt;$B$6,"",1&amp;"/"&amp;$B$6)</f>
        <v/>
      </c>
      <c r="B17" s="32">
        <f>IF(1&gt;$B$6,"",EDATE($B$7,0))</f>
        <v/>
      </c>
      <c r="C17" s="29">
        <f>IF(1&gt;$B$6,"",IF(1=$B$6,$B$3-$B$10*($B$6-1),$B$10))</f>
        <v/>
      </c>
      <c r="D17" s="29">
        <f>IF(1&gt;$B$6,"",IF(1=$B$6,$B$9-$B$11*($B$6-1),$B$11))</f>
        <v/>
      </c>
      <c r="E17" s="29">
        <f>IF(1&gt;$B$6,"",C17+D17)</f>
        <v/>
      </c>
    </row>
    <row r="18">
      <c r="A18" s="26">
        <f>IF(2&gt;$B$6,"",2&amp;"/"&amp;$B$6)</f>
        <v/>
      </c>
      <c r="B18" s="32">
        <f>IF(2&gt;$B$6,"",EDATE($B$7,1))</f>
        <v/>
      </c>
      <c r="C18" s="29">
        <f>IF(2&gt;$B$6,"",IF(2=$B$6,$B$3-$B$10*($B$6-1),$B$10))</f>
        <v/>
      </c>
      <c r="D18" s="29">
        <f>IF(2&gt;$B$6,"",IF(2=$B$6,$B$9-$B$11*($B$6-1),$B$11))</f>
        <v/>
      </c>
      <c r="E18" s="29">
        <f>IF(2&gt;$B$6,"",C18+D18)</f>
        <v/>
      </c>
    </row>
    <row r="19">
      <c r="A19" s="26">
        <f>IF(3&gt;$B$6,"",3&amp;"/"&amp;$B$6)</f>
        <v/>
      </c>
      <c r="B19" s="32">
        <f>IF(3&gt;$B$6,"",EDATE($B$7,2))</f>
        <v/>
      </c>
      <c r="C19" s="29">
        <f>IF(3&gt;$B$6,"",IF(3=$B$6,$B$3-$B$10*($B$6-1),$B$10))</f>
        <v/>
      </c>
      <c r="D19" s="29">
        <f>IF(3&gt;$B$6,"",IF(3=$B$6,$B$9-$B$11*($B$6-1),$B$11))</f>
        <v/>
      </c>
      <c r="E19" s="29">
        <f>IF(3&gt;$B$6,"",C19+D19)</f>
        <v/>
      </c>
    </row>
    <row r="20">
      <c r="A20" s="26">
        <f>IF(4&gt;$B$6,"",4&amp;"/"&amp;$B$6)</f>
        <v/>
      </c>
      <c r="B20" s="32">
        <f>IF(4&gt;$B$6,"",EDATE($B$7,3))</f>
        <v/>
      </c>
      <c r="C20" s="29">
        <f>IF(4&gt;$B$6,"",IF(4=$B$6,$B$3-$B$10*($B$6-1),$B$10))</f>
        <v/>
      </c>
      <c r="D20" s="29">
        <f>IF(4&gt;$B$6,"",IF(4=$B$6,$B$9-$B$11*($B$6-1),$B$11))</f>
        <v/>
      </c>
      <c r="E20" s="29">
        <f>IF(4&gt;$B$6,"",C20+D20)</f>
        <v/>
      </c>
    </row>
    <row r="21">
      <c r="A21" s="26">
        <f>IF(5&gt;$B$6,"",5&amp;"/"&amp;$B$6)</f>
        <v/>
      </c>
      <c r="B21" s="32">
        <f>IF(5&gt;$B$6,"",EDATE($B$7,4))</f>
        <v/>
      </c>
      <c r="C21" s="29">
        <f>IF(5&gt;$B$6,"",IF(5=$B$6,$B$3-$B$10*($B$6-1),$B$10))</f>
        <v/>
      </c>
      <c r="D21" s="29">
        <f>IF(5&gt;$B$6,"",IF(5=$B$6,$B$9-$B$11*($B$6-1),$B$11))</f>
        <v/>
      </c>
      <c r="E21" s="29">
        <f>IF(5&gt;$B$6,"",C21+D21)</f>
        <v/>
      </c>
    </row>
    <row r="22">
      <c r="A22" s="26">
        <f>IF(6&gt;$B$6,"",6&amp;"/"&amp;$B$6)</f>
        <v/>
      </c>
      <c r="B22" s="32">
        <f>IF(6&gt;$B$6,"",EDATE($B$7,5))</f>
        <v/>
      </c>
      <c r="C22" s="29">
        <f>IF(6&gt;$B$6,"",IF(6=$B$6,$B$3-$B$10*($B$6-1),$B$10))</f>
        <v/>
      </c>
      <c r="D22" s="29">
        <f>IF(6&gt;$B$6,"",IF(6=$B$6,$B$9-$B$11*($B$6-1),$B$11))</f>
        <v/>
      </c>
      <c r="E22" s="29">
        <f>IF(6&gt;$B$6,"",C22+D22)</f>
        <v/>
      </c>
    </row>
    <row r="23">
      <c r="A23" s="26">
        <f>IF(7&gt;$B$6,"",7&amp;"/"&amp;$B$6)</f>
        <v/>
      </c>
      <c r="B23" s="32">
        <f>IF(7&gt;$B$6,"",EDATE($B$7,6))</f>
        <v/>
      </c>
      <c r="C23" s="29">
        <f>IF(7&gt;$B$6,"",IF(7=$B$6,$B$3-$B$10*($B$6-1),$B$10))</f>
        <v/>
      </c>
      <c r="D23" s="29">
        <f>IF(7&gt;$B$6,"",IF(7=$B$6,$B$9-$B$11*($B$6-1),$B$11))</f>
        <v/>
      </c>
      <c r="E23" s="29">
        <f>IF(7&gt;$B$6,"",C23+D23)</f>
        <v/>
      </c>
    </row>
    <row r="24">
      <c r="A24" s="26">
        <f>IF(8&gt;$B$6,"",8&amp;"/"&amp;$B$6)</f>
        <v/>
      </c>
      <c r="B24" s="32">
        <f>IF(8&gt;$B$6,"",EDATE($B$7,7))</f>
        <v/>
      </c>
      <c r="C24" s="29">
        <f>IF(8&gt;$B$6,"",IF(8=$B$6,$B$3-$B$10*($B$6-1),$B$10))</f>
        <v/>
      </c>
      <c r="D24" s="29">
        <f>IF(8&gt;$B$6,"",IF(8=$B$6,$B$9-$B$11*($B$6-1),$B$11))</f>
        <v/>
      </c>
      <c r="E24" s="29">
        <f>IF(8&gt;$B$6,"",C24+D24)</f>
        <v/>
      </c>
    </row>
    <row r="25">
      <c r="A25" s="26">
        <f>IF(9&gt;$B$6,"",9&amp;"/"&amp;$B$6)</f>
        <v/>
      </c>
      <c r="B25" s="32">
        <f>IF(9&gt;$B$6,"",EDATE($B$7,8))</f>
        <v/>
      </c>
      <c r="C25" s="29">
        <f>IF(9&gt;$B$6,"",IF(9=$B$6,$B$3-$B$10*($B$6-1),$B$10))</f>
        <v/>
      </c>
      <c r="D25" s="29">
        <f>IF(9&gt;$B$6,"",IF(9=$B$6,$B$9-$B$11*($B$6-1),$B$11))</f>
        <v/>
      </c>
      <c r="E25" s="29">
        <f>IF(9&gt;$B$6,"",C25+D25)</f>
        <v/>
      </c>
    </row>
    <row r="26">
      <c r="A26" s="26">
        <f>IF(10&gt;$B$6,"",10&amp;"/"&amp;$B$6)</f>
        <v/>
      </c>
      <c r="B26" s="32">
        <f>IF(10&gt;$B$6,"",EDATE($B$7,9))</f>
        <v/>
      </c>
      <c r="C26" s="29">
        <f>IF(10&gt;$B$6,"",IF(10=$B$6,$B$3-$B$10*($B$6-1),$B$10))</f>
        <v/>
      </c>
      <c r="D26" s="29">
        <f>IF(10&gt;$B$6,"",IF(10=$B$6,$B$9-$B$11*($B$6-1),$B$11))</f>
        <v/>
      </c>
      <c r="E26" s="29">
        <f>IF(10&gt;$B$6,"",C26+D26)</f>
        <v/>
      </c>
    </row>
    <row r="27">
      <c r="A27" s="26">
        <f>IF(11&gt;$B$6,"",11&amp;"/"&amp;$B$6)</f>
        <v/>
      </c>
      <c r="B27" s="32">
        <f>IF(11&gt;$B$6,"",EDATE($B$7,10))</f>
        <v/>
      </c>
      <c r="C27" s="29">
        <f>IF(11&gt;$B$6,"",IF(11=$B$6,$B$3-$B$10*($B$6-1),$B$10))</f>
        <v/>
      </c>
      <c r="D27" s="29">
        <f>IF(11&gt;$B$6,"",IF(11=$B$6,$B$9-$B$11*($B$6-1),$B$11))</f>
        <v/>
      </c>
      <c r="E27" s="29">
        <f>IF(11&gt;$B$6,"",C27+D27)</f>
        <v/>
      </c>
    </row>
    <row r="28">
      <c r="A28" s="26">
        <f>IF(12&gt;$B$6,"",12&amp;"/"&amp;$B$6)</f>
        <v/>
      </c>
      <c r="B28" s="32">
        <f>IF(12&gt;$B$6,"",EDATE($B$7,11))</f>
        <v/>
      </c>
      <c r="C28" s="29">
        <f>IF(12&gt;$B$6,"",IF(12=$B$6,$B$3-$B$10*($B$6-1),$B$10))</f>
        <v/>
      </c>
      <c r="D28" s="29">
        <f>IF(12&gt;$B$6,"",IF(12=$B$6,$B$9-$B$11*($B$6-1),$B$11))</f>
        <v/>
      </c>
      <c r="E28" s="29">
        <f>IF(12&gt;$B$6,"",C28+D28)</f>
        <v/>
      </c>
    </row>
    <row r="29">
      <c r="A29" s="26">
        <f>IF(13&gt;$B$6,"",13&amp;"/"&amp;$B$6)</f>
        <v/>
      </c>
      <c r="B29" s="32">
        <f>IF(13&gt;$B$6,"",EDATE($B$7,12))</f>
        <v/>
      </c>
      <c r="C29" s="29">
        <f>IF(13&gt;$B$6,"",IF(13=$B$6,$B$3-$B$10*($B$6-1),$B$10))</f>
        <v/>
      </c>
      <c r="D29" s="29">
        <f>IF(13&gt;$B$6,"",IF(13=$B$6,$B$9-$B$11*($B$6-1),$B$11))</f>
        <v/>
      </c>
      <c r="E29" s="29">
        <f>IF(13&gt;$B$6,"",C29+D29)</f>
        <v/>
      </c>
    </row>
    <row r="30">
      <c r="A30" s="26">
        <f>IF(14&gt;$B$6,"",14&amp;"/"&amp;$B$6)</f>
        <v/>
      </c>
      <c r="B30" s="32">
        <f>IF(14&gt;$B$6,"",EDATE($B$7,13))</f>
        <v/>
      </c>
      <c r="C30" s="29">
        <f>IF(14&gt;$B$6,"",IF(14=$B$6,$B$3-$B$10*($B$6-1),$B$10))</f>
        <v/>
      </c>
      <c r="D30" s="29">
        <f>IF(14&gt;$B$6,"",IF(14=$B$6,$B$9-$B$11*($B$6-1),$B$11))</f>
        <v/>
      </c>
      <c r="E30" s="29">
        <f>IF(14&gt;$B$6,"",C30+D30)</f>
        <v/>
      </c>
    </row>
    <row r="31">
      <c r="A31" s="26">
        <f>IF(15&gt;$B$6,"",15&amp;"/"&amp;$B$6)</f>
        <v/>
      </c>
      <c r="B31" s="32">
        <f>IF(15&gt;$B$6,"",EDATE($B$7,14))</f>
        <v/>
      </c>
      <c r="C31" s="29">
        <f>IF(15&gt;$B$6,"",IF(15=$B$6,$B$3-$B$10*($B$6-1),$B$10))</f>
        <v/>
      </c>
      <c r="D31" s="29">
        <f>IF(15&gt;$B$6,"",IF(15=$B$6,$B$9-$B$11*($B$6-1),$B$11))</f>
        <v/>
      </c>
      <c r="E31" s="29">
        <f>IF(15&gt;$B$6,"",C31+D31)</f>
        <v/>
      </c>
    </row>
    <row r="32">
      <c r="A32" s="26">
        <f>IF(16&gt;$B$6,"",16&amp;"/"&amp;$B$6)</f>
        <v/>
      </c>
      <c r="B32" s="32">
        <f>IF(16&gt;$B$6,"",EDATE($B$7,15))</f>
        <v/>
      </c>
      <c r="C32" s="29">
        <f>IF(16&gt;$B$6,"",IF(16=$B$6,$B$3-$B$10*($B$6-1),$B$10))</f>
        <v/>
      </c>
      <c r="D32" s="29">
        <f>IF(16&gt;$B$6,"",IF(16=$B$6,$B$9-$B$11*($B$6-1),$B$11))</f>
        <v/>
      </c>
      <c r="E32" s="29">
        <f>IF(16&gt;$B$6,"",C32+D32)</f>
        <v/>
      </c>
    </row>
    <row r="33">
      <c r="A33" s="26">
        <f>IF(17&gt;$B$6,"",17&amp;"/"&amp;$B$6)</f>
        <v/>
      </c>
      <c r="B33" s="32">
        <f>IF(17&gt;$B$6,"",EDATE($B$7,16))</f>
        <v/>
      </c>
      <c r="C33" s="29">
        <f>IF(17&gt;$B$6,"",IF(17=$B$6,$B$3-$B$10*($B$6-1),$B$10))</f>
        <v/>
      </c>
      <c r="D33" s="29">
        <f>IF(17&gt;$B$6,"",IF(17=$B$6,$B$9-$B$11*($B$6-1),$B$11))</f>
        <v/>
      </c>
      <c r="E33" s="29">
        <f>IF(17&gt;$B$6,"",C33+D33)</f>
        <v/>
      </c>
    </row>
    <row r="34">
      <c r="A34" s="26">
        <f>IF(18&gt;$B$6,"",18&amp;"/"&amp;$B$6)</f>
        <v/>
      </c>
      <c r="B34" s="32">
        <f>IF(18&gt;$B$6,"",EDATE($B$7,17))</f>
        <v/>
      </c>
      <c r="C34" s="29">
        <f>IF(18&gt;$B$6,"",IF(18=$B$6,$B$3-$B$10*($B$6-1),$B$10))</f>
        <v/>
      </c>
      <c r="D34" s="29">
        <f>IF(18&gt;$B$6,"",IF(18=$B$6,$B$9-$B$11*($B$6-1),$B$11))</f>
        <v/>
      </c>
      <c r="E34" s="29">
        <f>IF(18&gt;$B$6,"",C34+D34)</f>
        <v/>
      </c>
    </row>
    <row r="35">
      <c r="A35" s="26">
        <f>IF(19&gt;$B$6,"",19&amp;"/"&amp;$B$6)</f>
        <v/>
      </c>
      <c r="B35" s="32">
        <f>IF(19&gt;$B$6,"",EDATE($B$7,18))</f>
        <v/>
      </c>
      <c r="C35" s="29">
        <f>IF(19&gt;$B$6,"",IF(19=$B$6,$B$3-$B$10*($B$6-1),$B$10))</f>
        <v/>
      </c>
      <c r="D35" s="29">
        <f>IF(19&gt;$B$6,"",IF(19=$B$6,$B$9-$B$11*($B$6-1),$B$11))</f>
        <v/>
      </c>
      <c r="E35" s="29">
        <f>IF(19&gt;$B$6,"",C35+D35)</f>
        <v/>
      </c>
    </row>
    <row r="36">
      <c r="A36" s="26">
        <f>IF(20&gt;$B$6,"",20&amp;"/"&amp;$B$6)</f>
        <v/>
      </c>
      <c r="B36" s="32">
        <f>IF(20&gt;$B$6,"",EDATE($B$7,19))</f>
        <v/>
      </c>
      <c r="C36" s="29">
        <f>IF(20&gt;$B$6,"",IF(20=$B$6,$B$3-$B$10*($B$6-1),$B$10))</f>
        <v/>
      </c>
      <c r="D36" s="29">
        <f>IF(20&gt;$B$6,"",IF(20=$B$6,$B$9-$B$11*($B$6-1),$B$11))</f>
        <v/>
      </c>
      <c r="E36" s="29">
        <f>IF(20&gt;$B$6,"",C36+D36)</f>
        <v/>
      </c>
    </row>
    <row r="37">
      <c r="A37" s="26">
        <f>IF(21&gt;$B$6,"",21&amp;"/"&amp;$B$6)</f>
        <v/>
      </c>
      <c r="B37" s="32">
        <f>IF(21&gt;$B$6,"",EDATE($B$7,20))</f>
        <v/>
      </c>
      <c r="C37" s="29">
        <f>IF(21&gt;$B$6,"",IF(21=$B$6,$B$3-$B$10*($B$6-1),$B$10))</f>
        <v/>
      </c>
      <c r="D37" s="29">
        <f>IF(21&gt;$B$6,"",IF(21=$B$6,$B$9-$B$11*($B$6-1),$B$11))</f>
        <v/>
      </c>
      <c r="E37" s="29">
        <f>IF(21&gt;$B$6,"",C37+D37)</f>
        <v/>
      </c>
    </row>
    <row r="38">
      <c r="A38" s="26">
        <f>IF(22&gt;$B$6,"",22&amp;"/"&amp;$B$6)</f>
        <v/>
      </c>
      <c r="B38" s="32">
        <f>IF(22&gt;$B$6,"",EDATE($B$7,21))</f>
        <v/>
      </c>
      <c r="C38" s="29">
        <f>IF(22&gt;$B$6,"",IF(22=$B$6,$B$3-$B$10*($B$6-1),$B$10))</f>
        <v/>
      </c>
      <c r="D38" s="29">
        <f>IF(22&gt;$B$6,"",IF(22=$B$6,$B$9-$B$11*($B$6-1),$B$11))</f>
        <v/>
      </c>
      <c r="E38" s="29">
        <f>IF(22&gt;$B$6,"",C38+D38)</f>
        <v/>
      </c>
    </row>
    <row r="39">
      <c r="A39" s="26">
        <f>IF(23&gt;$B$6,"",23&amp;"/"&amp;$B$6)</f>
        <v/>
      </c>
      <c r="B39" s="32">
        <f>IF(23&gt;$B$6,"",EDATE($B$7,22))</f>
        <v/>
      </c>
      <c r="C39" s="29">
        <f>IF(23&gt;$B$6,"",IF(23=$B$6,$B$3-$B$10*($B$6-1),$B$10))</f>
        <v/>
      </c>
      <c r="D39" s="29">
        <f>IF(23&gt;$B$6,"",IF(23=$B$6,$B$9-$B$11*($B$6-1),$B$11))</f>
        <v/>
      </c>
      <c r="E39" s="29">
        <f>IF(23&gt;$B$6,"",C39+D39)</f>
        <v/>
      </c>
    </row>
    <row r="40">
      <c r="A40" s="26">
        <f>IF(24&gt;$B$6,"",24&amp;"/"&amp;$B$6)</f>
        <v/>
      </c>
      <c r="B40" s="32">
        <f>IF(24&gt;$B$6,"",EDATE($B$7,23))</f>
        <v/>
      </c>
      <c r="C40" s="29">
        <f>IF(24&gt;$B$6,"",IF(24=$B$6,$B$3-$B$10*($B$6-1),$B$10))</f>
        <v/>
      </c>
      <c r="D40" s="29">
        <f>IF(24&gt;$B$6,"",IF(24=$B$6,$B$9-$B$11*($B$6-1),$B$11))</f>
        <v/>
      </c>
      <c r="E40" s="29">
        <f>IF(24&gt;$B$6,"",C40+D40)</f>
        <v/>
      </c>
    </row>
  </sheetData>
  <dataValidations count="1">
    <dataValidation sqref="B4" showDropDown="0" showInputMessage="0" showErrorMessage="0" allowBlank="0" type="list">
      <formula1>"%,Fijo total,Fijo por mes"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2026-10-05T00:49:09Z</dcterms:created>
  <dcterms:modified xsi:type="dcterms:W3CDTF">2026-10-06T03:03:50Z</dcterms:modified>
</cp:coreProperties>
</file>